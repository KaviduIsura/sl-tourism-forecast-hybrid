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DU ISURA\Desktop\KIC-BSCCSAI-251P-034\"/>
    </mc:Choice>
  </mc:AlternateContent>
  <xr:revisionPtr revIDLastSave="0" documentId="13_ncr:1_{43A1FA4F-0370-4495-A777-927FCF0678B4}" xr6:coauthVersionLast="47" xr6:coauthVersionMax="47" xr10:uidLastSave="{00000000-0000-0000-0000-000000000000}"/>
  <bookViews>
    <workbookView xWindow="-120" yWindow="-120" windowWidth="29040" windowHeight="15720" xr2:uid="{BD066D82-2024-4090-BACE-3FA4F07F3A56}"/>
  </bookViews>
  <sheets>
    <sheet name="Dataset" sheetId="1" r:id="rId1"/>
    <sheet name="Column Guid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2" i="1"/>
  <c r="B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C11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" i="1"/>
  <c r="C4" i="1"/>
  <c r="C5" i="1"/>
  <c r="C2" i="1"/>
</calcChain>
</file>

<file path=xl/sharedStrings.xml><?xml version="1.0" encoding="utf-8"?>
<sst xmlns="http://schemas.openxmlformats.org/spreadsheetml/2006/main" count="89" uniqueCount="54">
  <si>
    <t>date</t>
  </si>
  <si>
    <t>year</t>
  </si>
  <si>
    <t>month</t>
  </si>
  <si>
    <t>tourist_arrivals</t>
  </si>
  <si>
    <t>usd_lkr_rate</t>
  </si>
  <si>
    <t>gtrends_flights</t>
  </si>
  <si>
    <t>gtrends_hotels</t>
  </si>
  <si>
    <t>gtrends_visa</t>
  </si>
  <si>
    <t>shock_flag</t>
  </si>
  <si>
    <t>shock_type</t>
  </si>
  <si>
    <t>month_sin</t>
  </si>
  <si>
    <t>month_cos</t>
  </si>
  <si>
    <t>arrivals_lag_1</t>
  </si>
  <si>
    <t>arrivals_lag_3</t>
  </si>
  <si>
    <t>arrivals_lag_12</t>
  </si>
  <si>
    <t>arrivals_rolling_mean_3</t>
  </si>
  <si>
    <t>dataset_split</t>
  </si>
  <si>
    <t>Column</t>
  </si>
  <si>
    <t>Type</t>
  </si>
  <si>
    <t>Meaning</t>
  </si>
  <si>
    <t>Source</t>
  </si>
  <si>
    <t>Date (YYYY-MM)</t>
  </si>
  <si>
    <t>First day of the month; primary time index for the series.</t>
  </si>
  <si>
    <t>-</t>
  </si>
  <si>
    <t>Integer</t>
  </si>
  <si>
    <t>Calendar year, 2015-2025.</t>
  </si>
  <si>
    <t>Derived from date</t>
  </si>
  <si>
    <t>Integer (1-12)</t>
  </si>
  <si>
    <t>Calendar month.</t>
  </si>
  <si>
    <t>Target variable: total monthly tourist arrivals to Sri Lanka.</t>
  </si>
  <si>
    <t>SLTDA Monthly Tourist Arrivals Reports</t>
  </si>
  <si>
    <t>Float</t>
  </si>
  <si>
    <t>Monthly average USD/LKR exchange rate.</t>
  </si>
  <si>
    <t>Central Bank of Sri Lanka</t>
  </si>
  <si>
    <t>Integer (0-100)</t>
  </si>
  <si>
    <t>Google Trends search index for 'Sri Lanka Flights'.</t>
  </si>
  <si>
    <t>Google Trends</t>
  </si>
  <si>
    <t>Google Trends search index for 'Sri Lanka Hotels'.</t>
  </si>
  <si>
    <t>Google Trends search index for 'Sri Lanka Visa'.</t>
  </si>
  <si>
    <t>Binary (0/1)</t>
  </si>
  <si>
    <t>1 if the month falls within a documented shock period, else 0. Used to split test data into stable vs shock subsets.</t>
  </si>
  <si>
    <t>Manually constructed from crisis timelines</t>
  </si>
  <si>
    <t>Categorical</t>
  </si>
  <si>
    <t>Names which shock occurred: 'Easter Attack', 'COVID-19', 'Economic Crisis', or 'None'. Used for SHAP explainability by shock type.</t>
  </si>
  <si>
    <t>Manually constructed</t>
  </si>
  <si>
    <t>sin(2*pi*month/12) - cyclical encoding of month so December and January are seen as adjacent.</t>
  </si>
  <si>
    <t>Derived</t>
  </si>
  <si>
    <t>cos(2*pi*month/12) - paired with month_sin for full cyclical encoding.</t>
  </si>
  <si>
    <t>Tourist arrivals 1 month earlier - gives ML models short-term memory.</t>
  </si>
  <si>
    <t>Tourist arrivals 3 months earlier.</t>
  </si>
  <si>
    <t>Tourist arrivals in the same month, prior year - captures yearly seasonality.</t>
  </si>
  <si>
    <t>3-month moving average of arrivals - smooths short-term noise.</t>
  </si>
  <si>
    <t>'train' (2015-2021) or 'test' (2022-2025) - fixed chronological split to avoid look-ahead bias.</t>
  </si>
  <si>
    <t>usd_lkr_rate_monthly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</si>
</sst>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14" fontId="0" fillId="0" borderId="0" xfId="0" applyNumberFormat="1"/>
    <xf numFmtId="3" fontId="0" fillId="0" borderId="0" xfId="0" applyNumberForma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7D7A-4611-48A4-AB06-949849EB9FD7}">
  <dimension ref="A1:Q133"/>
  <sheetViews>
    <sheetView tabSelected="1" workbookViewId="0">
      <selection activeCell="D73" sqref="D73"/>
    </sheetView>
  </sheetViews>
  <sheetFormatPr defaultRowHeight="15" x14ac:dyDescent="0.25"/>
  <cols>
    <col min="4" max="4" width="17.28515625" customWidth="1"/>
    <col min="5" max="5" width="14.28515625" customWidth="1"/>
    <col min="6" max="6" width="14.140625" customWidth="1"/>
    <col min="7" max="7" width="14.5703125" customWidth="1"/>
    <col min="8" max="8" width="12.5703125" customWidth="1"/>
    <col min="9" max="9" width="11.140625" customWidth="1"/>
    <col min="10" max="10" width="15.85546875" customWidth="1"/>
    <col min="11" max="11" width="11.5703125" customWidth="1"/>
    <col min="12" max="12" width="10.5703125" customWidth="1"/>
    <col min="13" max="13" width="13.5703125" customWidth="1"/>
    <col min="14" max="14" width="13.85546875" customWidth="1"/>
    <col min="15" max="15" width="14.42578125" customWidth="1"/>
    <col min="16" max="16" width="22.5703125" customWidth="1"/>
    <col min="17" max="17" width="14.28515625" customWidth="1"/>
  </cols>
  <sheetData>
    <row r="1" spans="1:17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53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</row>
    <row r="2" spans="1:17" x14ac:dyDescent="0.25">
      <c r="A2" s="6">
        <v>42005</v>
      </c>
      <c r="B2">
        <f>YEAR(A2)</f>
        <v>2015</v>
      </c>
      <c r="C2">
        <f>MONTH(A2)</f>
        <v>1</v>
      </c>
      <c r="D2" s="8">
        <v>156246</v>
      </c>
      <c r="E2">
        <v>131.55000000000001</v>
      </c>
      <c r="F2">
        <v>16</v>
      </c>
      <c r="G2">
        <v>27</v>
      </c>
      <c r="H2">
        <v>37</v>
      </c>
      <c r="I2">
        <f>IF(J2="None",0,1)</f>
        <v>0</v>
      </c>
      <c r="J2" t="str">
        <f>IF(AND(YEAR(A2)=2019,MONTH(A2)=4),"Easter Attack",
 IF(OR(AND(YEAR(A2)=2020,MONTH(A2)&gt;=3),AND(YEAR(A2)=2021)),"COVID-19",
 IF(YEAR(A2)=2022,"Economic Crisis","None")))</f>
        <v>None</v>
      </c>
      <c r="Q2" t="str">
        <f>IF(YEAR(A2)&lt;=2021,"train","test")</f>
        <v>train</v>
      </c>
    </row>
    <row r="3" spans="1:17" x14ac:dyDescent="0.25">
      <c r="A3" s="6">
        <v>42036</v>
      </c>
      <c r="B3">
        <f t="shared" ref="B3:B66" si="0">YEAR(A3)</f>
        <v>2015</v>
      </c>
      <c r="C3">
        <f t="shared" ref="C3:C66" si="1">MONTH(A3)</f>
        <v>2</v>
      </c>
      <c r="D3" s="7">
        <v>165541</v>
      </c>
      <c r="E3">
        <v>132.72999999999999</v>
      </c>
      <c r="F3">
        <v>13</v>
      </c>
      <c r="G3">
        <v>25</v>
      </c>
      <c r="H3">
        <v>38</v>
      </c>
      <c r="I3">
        <f t="shared" ref="I3:I66" si="2">IF(J3="None",0,1)</f>
        <v>0</v>
      </c>
      <c r="J3" t="str">
        <f t="shared" ref="J3:J66" si="3">IF(AND(YEAR(A3)=2019,MONTH(A3)=4),"Easter Attack",
 IF(OR(AND(YEAR(A3)=2020,MONTH(A3)&gt;=3),AND(YEAR(A3)=2021)),"COVID-19",
 IF(YEAR(A3)=2022,"Economic Crisis","None")))</f>
        <v>None</v>
      </c>
      <c r="Q3" t="str">
        <f t="shared" ref="Q3:Q66" si="4">IF(YEAR(A3)&lt;=2021,"train","test")</f>
        <v>train</v>
      </c>
    </row>
    <row r="4" spans="1:17" x14ac:dyDescent="0.25">
      <c r="A4" s="6">
        <v>42064</v>
      </c>
      <c r="B4">
        <f t="shared" si="0"/>
        <v>2015</v>
      </c>
      <c r="C4">
        <f t="shared" si="1"/>
        <v>3</v>
      </c>
      <c r="D4" s="7">
        <v>157051</v>
      </c>
      <c r="E4">
        <v>132.9</v>
      </c>
      <c r="F4">
        <v>12</v>
      </c>
      <c r="G4">
        <v>22</v>
      </c>
      <c r="H4">
        <v>34</v>
      </c>
      <c r="I4">
        <f t="shared" si="2"/>
        <v>0</v>
      </c>
      <c r="J4" t="str">
        <f t="shared" si="3"/>
        <v>None</v>
      </c>
      <c r="Q4" t="str">
        <f t="shared" si="4"/>
        <v>train</v>
      </c>
    </row>
    <row r="5" spans="1:17" x14ac:dyDescent="0.25">
      <c r="A5" s="6">
        <v>42095</v>
      </c>
      <c r="B5">
        <f t="shared" si="0"/>
        <v>2015</v>
      </c>
      <c r="C5">
        <f t="shared" si="1"/>
        <v>4</v>
      </c>
      <c r="D5" s="7">
        <v>122217</v>
      </c>
      <c r="E5">
        <v>132.9</v>
      </c>
      <c r="F5">
        <v>12</v>
      </c>
      <c r="G5">
        <v>24</v>
      </c>
      <c r="H5">
        <v>31</v>
      </c>
      <c r="I5">
        <f t="shared" si="2"/>
        <v>0</v>
      </c>
      <c r="J5" t="str">
        <f t="shared" si="3"/>
        <v>None</v>
      </c>
      <c r="Q5" t="str">
        <f t="shared" si="4"/>
        <v>train</v>
      </c>
    </row>
    <row r="6" spans="1:17" x14ac:dyDescent="0.25">
      <c r="A6" s="6">
        <v>42125</v>
      </c>
      <c r="B6">
        <f t="shared" si="0"/>
        <v>2015</v>
      </c>
      <c r="C6">
        <f t="shared" si="1"/>
        <v>5</v>
      </c>
      <c r="D6" s="7">
        <v>113529</v>
      </c>
      <c r="E6">
        <v>133.5</v>
      </c>
      <c r="F6">
        <v>12</v>
      </c>
      <c r="G6">
        <v>22</v>
      </c>
      <c r="H6">
        <v>31</v>
      </c>
      <c r="I6">
        <f t="shared" si="2"/>
        <v>0</v>
      </c>
      <c r="J6" t="str">
        <f t="shared" si="3"/>
        <v>None</v>
      </c>
      <c r="Q6" t="str">
        <f t="shared" si="4"/>
        <v>train</v>
      </c>
    </row>
    <row r="7" spans="1:17" x14ac:dyDescent="0.25">
      <c r="A7" s="6">
        <v>42156</v>
      </c>
      <c r="B7">
        <f t="shared" si="0"/>
        <v>2015</v>
      </c>
      <c r="C7">
        <f t="shared" si="1"/>
        <v>6</v>
      </c>
      <c r="D7" s="7">
        <v>115467</v>
      </c>
      <c r="E7">
        <v>133.9</v>
      </c>
      <c r="F7">
        <v>13</v>
      </c>
      <c r="G7">
        <v>22</v>
      </c>
      <c r="H7">
        <v>34</v>
      </c>
      <c r="I7">
        <f t="shared" si="2"/>
        <v>0</v>
      </c>
      <c r="J7" t="str">
        <f t="shared" si="3"/>
        <v>None</v>
      </c>
      <c r="Q7" t="str">
        <f t="shared" si="4"/>
        <v>train</v>
      </c>
    </row>
    <row r="8" spans="1:17" x14ac:dyDescent="0.25">
      <c r="A8" s="6">
        <v>42186</v>
      </c>
      <c r="B8">
        <f t="shared" si="0"/>
        <v>2015</v>
      </c>
      <c r="C8">
        <f t="shared" si="1"/>
        <v>7</v>
      </c>
      <c r="D8" s="7">
        <v>175804</v>
      </c>
      <c r="E8">
        <v>133.69</v>
      </c>
      <c r="F8">
        <v>14</v>
      </c>
      <c r="G8">
        <v>26</v>
      </c>
      <c r="H8">
        <v>36</v>
      </c>
      <c r="I8">
        <f t="shared" si="2"/>
        <v>0</v>
      </c>
      <c r="J8" t="str">
        <f t="shared" si="3"/>
        <v>None</v>
      </c>
      <c r="Q8" t="str">
        <f t="shared" si="4"/>
        <v>train</v>
      </c>
    </row>
    <row r="9" spans="1:17" x14ac:dyDescent="0.25">
      <c r="A9" s="6">
        <v>42217</v>
      </c>
      <c r="B9">
        <f t="shared" si="0"/>
        <v>2015</v>
      </c>
      <c r="C9">
        <f t="shared" si="1"/>
        <v>8</v>
      </c>
      <c r="D9" s="7">
        <v>166610</v>
      </c>
      <c r="E9">
        <v>133.88</v>
      </c>
      <c r="F9">
        <v>15</v>
      </c>
      <c r="G9">
        <v>27</v>
      </c>
      <c r="H9">
        <v>33</v>
      </c>
      <c r="I9">
        <f t="shared" si="2"/>
        <v>0</v>
      </c>
      <c r="J9" t="str">
        <f t="shared" si="3"/>
        <v>None</v>
      </c>
      <c r="Q9" t="str">
        <f t="shared" si="4"/>
        <v>train</v>
      </c>
    </row>
    <row r="10" spans="1:17" x14ac:dyDescent="0.25">
      <c r="A10" s="6">
        <v>42248</v>
      </c>
      <c r="B10">
        <f t="shared" si="0"/>
        <v>2015</v>
      </c>
      <c r="C10">
        <f t="shared" si="1"/>
        <v>9</v>
      </c>
      <c r="D10" s="7">
        <v>143374</v>
      </c>
      <c r="E10">
        <v>138.88</v>
      </c>
      <c r="F10">
        <v>14</v>
      </c>
      <c r="G10">
        <v>23</v>
      </c>
      <c r="H10">
        <v>31</v>
      </c>
      <c r="I10">
        <f t="shared" si="2"/>
        <v>0</v>
      </c>
      <c r="J10" t="str">
        <f t="shared" si="3"/>
        <v>None</v>
      </c>
      <c r="Q10" t="str">
        <f t="shared" si="4"/>
        <v>train</v>
      </c>
    </row>
    <row r="11" spans="1:17" x14ac:dyDescent="0.25">
      <c r="A11" s="6">
        <v>42278</v>
      </c>
      <c r="B11">
        <f t="shared" si="0"/>
        <v>2015</v>
      </c>
      <c r="C11">
        <f>MONTH(A11)</f>
        <v>10</v>
      </c>
      <c r="D11" s="7">
        <v>132280</v>
      </c>
      <c r="E11">
        <v>140.88999999999999</v>
      </c>
      <c r="F11">
        <v>12</v>
      </c>
      <c r="G11">
        <v>24</v>
      </c>
      <c r="H11">
        <v>32</v>
      </c>
      <c r="I11">
        <f t="shared" si="2"/>
        <v>0</v>
      </c>
      <c r="J11" t="str">
        <f t="shared" si="3"/>
        <v>None</v>
      </c>
      <c r="Q11" t="str">
        <f t="shared" si="4"/>
        <v>train</v>
      </c>
    </row>
    <row r="12" spans="1:17" x14ac:dyDescent="0.25">
      <c r="A12" s="6">
        <v>42309</v>
      </c>
      <c r="B12">
        <f t="shared" si="0"/>
        <v>2015</v>
      </c>
      <c r="C12">
        <f t="shared" si="1"/>
        <v>11</v>
      </c>
      <c r="D12" s="7">
        <v>144147</v>
      </c>
      <c r="E12">
        <v>142.02000000000001</v>
      </c>
      <c r="F12">
        <v>13</v>
      </c>
      <c r="G12">
        <v>24</v>
      </c>
      <c r="H12">
        <v>35</v>
      </c>
      <c r="I12">
        <f t="shared" si="2"/>
        <v>0</v>
      </c>
      <c r="J12" t="str">
        <f t="shared" si="3"/>
        <v>None</v>
      </c>
      <c r="Q12" t="str">
        <f t="shared" si="4"/>
        <v>train</v>
      </c>
    </row>
    <row r="13" spans="1:17" x14ac:dyDescent="0.25">
      <c r="A13" s="6">
        <v>42339</v>
      </c>
      <c r="B13">
        <f t="shared" si="0"/>
        <v>2015</v>
      </c>
      <c r="C13">
        <f t="shared" si="1"/>
        <v>12</v>
      </c>
      <c r="D13" s="7">
        <v>206114</v>
      </c>
      <c r="E13">
        <v>143.44</v>
      </c>
      <c r="F13">
        <v>13</v>
      </c>
      <c r="G13">
        <v>28</v>
      </c>
      <c r="H13">
        <v>34</v>
      </c>
      <c r="I13">
        <f t="shared" si="2"/>
        <v>0</v>
      </c>
      <c r="J13" t="str">
        <f t="shared" si="3"/>
        <v>None</v>
      </c>
      <c r="Q13" t="str">
        <f t="shared" si="4"/>
        <v>train</v>
      </c>
    </row>
    <row r="14" spans="1:17" x14ac:dyDescent="0.25">
      <c r="A14" s="6">
        <v>42370</v>
      </c>
      <c r="B14">
        <f t="shared" si="0"/>
        <v>2016</v>
      </c>
      <c r="C14">
        <f t="shared" si="1"/>
        <v>1</v>
      </c>
      <c r="D14" s="7">
        <v>194280</v>
      </c>
      <c r="E14">
        <v>143.94</v>
      </c>
      <c r="F14">
        <v>17</v>
      </c>
      <c r="G14">
        <v>28</v>
      </c>
      <c r="H14">
        <v>36</v>
      </c>
      <c r="I14">
        <f t="shared" si="2"/>
        <v>0</v>
      </c>
      <c r="J14" t="str">
        <f t="shared" si="3"/>
        <v>None</v>
      </c>
      <c r="Q14" t="str">
        <f t="shared" si="4"/>
        <v>train</v>
      </c>
    </row>
    <row r="15" spans="1:17" x14ac:dyDescent="0.25">
      <c r="A15" s="6">
        <v>42401</v>
      </c>
      <c r="B15">
        <f t="shared" si="0"/>
        <v>2016</v>
      </c>
      <c r="C15">
        <f t="shared" si="1"/>
        <v>2</v>
      </c>
      <c r="D15" s="7">
        <v>197697</v>
      </c>
      <c r="E15">
        <v>143.93</v>
      </c>
      <c r="F15">
        <v>15</v>
      </c>
      <c r="G15">
        <v>24</v>
      </c>
      <c r="H15">
        <v>34</v>
      </c>
      <c r="I15">
        <f t="shared" si="2"/>
        <v>0</v>
      </c>
      <c r="J15" t="str">
        <f t="shared" si="3"/>
        <v>None</v>
      </c>
      <c r="Q15" t="str">
        <f t="shared" si="4"/>
        <v>train</v>
      </c>
    </row>
    <row r="16" spans="1:17" x14ac:dyDescent="0.25">
      <c r="A16" s="6">
        <v>42430</v>
      </c>
      <c r="B16">
        <f t="shared" si="0"/>
        <v>2016</v>
      </c>
      <c r="C16">
        <f t="shared" si="1"/>
        <v>3</v>
      </c>
      <c r="D16" s="7">
        <v>192841</v>
      </c>
      <c r="E16">
        <v>143.96</v>
      </c>
      <c r="F16">
        <v>14</v>
      </c>
      <c r="G16">
        <v>24</v>
      </c>
      <c r="H16">
        <v>34</v>
      </c>
      <c r="I16">
        <f t="shared" si="2"/>
        <v>0</v>
      </c>
      <c r="J16" t="str">
        <f t="shared" si="3"/>
        <v>None</v>
      </c>
      <c r="Q16" t="str">
        <f t="shared" si="4"/>
        <v>train</v>
      </c>
    </row>
    <row r="17" spans="1:17" x14ac:dyDescent="0.25">
      <c r="A17" s="6">
        <v>42461</v>
      </c>
      <c r="B17">
        <f t="shared" si="0"/>
        <v>2016</v>
      </c>
      <c r="C17">
        <f t="shared" si="1"/>
        <v>4</v>
      </c>
      <c r="D17" s="7">
        <v>136367</v>
      </c>
      <c r="E17">
        <v>143.9</v>
      </c>
      <c r="F17">
        <v>14</v>
      </c>
      <c r="G17">
        <v>26</v>
      </c>
      <c r="H17">
        <v>30</v>
      </c>
      <c r="I17">
        <f t="shared" si="2"/>
        <v>0</v>
      </c>
      <c r="J17" t="str">
        <f t="shared" si="3"/>
        <v>None</v>
      </c>
      <c r="Q17" t="str">
        <f t="shared" si="4"/>
        <v>train</v>
      </c>
    </row>
    <row r="18" spans="1:17" x14ac:dyDescent="0.25">
      <c r="A18" s="6">
        <v>42491</v>
      </c>
      <c r="B18">
        <f t="shared" si="0"/>
        <v>2016</v>
      </c>
      <c r="C18">
        <f t="shared" si="1"/>
        <v>5</v>
      </c>
      <c r="D18" s="7">
        <v>125044</v>
      </c>
      <c r="E18">
        <v>145.65</v>
      </c>
      <c r="F18">
        <v>14</v>
      </c>
      <c r="G18">
        <v>23</v>
      </c>
      <c r="H18">
        <v>31</v>
      </c>
      <c r="I18">
        <f t="shared" si="2"/>
        <v>0</v>
      </c>
      <c r="J18" t="str">
        <f t="shared" si="3"/>
        <v>None</v>
      </c>
      <c r="Q18" t="str">
        <f t="shared" si="4"/>
        <v>train</v>
      </c>
    </row>
    <row r="19" spans="1:17" x14ac:dyDescent="0.25">
      <c r="A19" s="6">
        <v>42522</v>
      </c>
      <c r="B19">
        <f t="shared" si="0"/>
        <v>2016</v>
      </c>
      <c r="C19">
        <f t="shared" si="1"/>
        <v>6</v>
      </c>
      <c r="D19" s="7">
        <v>118038</v>
      </c>
      <c r="E19">
        <v>145.28</v>
      </c>
      <c r="F19">
        <v>13</v>
      </c>
      <c r="G19">
        <v>22</v>
      </c>
      <c r="H19">
        <v>33</v>
      </c>
      <c r="I19">
        <f t="shared" si="2"/>
        <v>0</v>
      </c>
      <c r="J19" t="str">
        <f t="shared" si="3"/>
        <v>None</v>
      </c>
      <c r="Q19" t="str">
        <f t="shared" si="4"/>
        <v>train</v>
      </c>
    </row>
    <row r="20" spans="1:17" x14ac:dyDescent="0.25">
      <c r="A20" s="6">
        <v>42552</v>
      </c>
      <c r="B20">
        <f t="shared" si="0"/>
        <v>2016</v>
      </c>
      <c r="C20">
        <f t="shared" si="1"/>
        <v>7</v>
      </c>
      <c r="D20" s="7">
        <v>209351</v>
      </c>
      <c r="E20">
        <v>145.41</v>
      </c>
      <c r="F20">
        <v>15</v>
      </c>
      <c r="G20">
        <v>25</v>
      </c>
      <c r="H20">
        <v>36</v>
      </c>
      <c r="I20">
        <f t="shared" si="2"/>
        <v>0</v>
      </c>
      <c r="J20" t="str">
        <f t="shared" si="3"/>
        <v>None</v>
      </c>
      <c r="Q20" t="str">
        <f t="shared" si="4"/>
        <v>train</v>
      </c>
    </row>
    <row r="21" spans="1:17" x14ac:dyDescent="0.25">
      <c r="A21" s="6">
        <v>42583</v>
      </c>
      <c r="B21">
        <f t="shared" si="0"/>
        <v>2016</v>
      </c>
      <c r="C21">
        <f t="shared" si="1"/>
        <v>8</v>
      </c>
      <c r="D21" s="7">
        <v>186288</v>
      </c>
      <c r="E21">
        <v>145.6</v>
      </c>
      <c r="F21">
        <v>14</v>
      </c>
      <c r="G21">
        <v>27</v>
      </c>
      <c r="H21">
        <v>35</v>
      </c>
      <c r="I21">
        <f t="shared" si="2"/>
        <v>0</v>
      </c>
      <c r="J21" t="str">
        <f t="shared" si="3"/>
        <v>None</v>
      </c>
      <c r="Q21" t="str">
        <f t="shared" si="4"/>
        <v>train</v>
      </c>
    </row>
    <row r="22" spans="1:17" x14ac:dyDescent="0.25">
      <c r="A22" s="6">
        <v>42614</v>
      </c>
      <c r="B22">
        <f t="shared" si="0"/>
        <v>2016</v>
      </c>
      <c r="C22">
        <f t="shared" si="1"/>
        <v>9</v>
      </c>
      <c r="D22" s="7">
        <v>148499</v>
      </c>
      <c r="E22">
        <v>145.78</v>
      </c>
      <c r="F22">
        <v>14</v>
      </c>
      <c r="G22">
        <v>25</v>
      </c>
      <c r="H22">
        <v>34</v>
      </c>
      <c r="I22">
        <f t="shared" si="2"/>
        <v>0</v>
      </c>
      <c r="J22" t="str">
        <f t="shared" si="3"/>
        <v>None</v>
      </c>
      <c r="Q22" t="str">
        <f t="shared" si="4"/>
        <v>train</v>
      </c>
    </row>
    <row r="23" spans="1:17" x14ac:dyDescent="0.25">
      <c r="A23" s="6">
        <v>42644</v>
      </c>
      <c r="B23">
        <f t="shared" si="0"/>
        <v>2016</v>
      </c>
      <c r="C23">
        <f t="shared" si="1"/>
        <v>10</v>
      </c>
      <c r="D23" s="7">
        <v>150419</v>
      </c>
      <c r="E23">
        <v>146.87</v>
      </c>
      <c r="F23">
        <v>15</v>
      </c>
      <c r="G23">
        <v>24</v>
      </c>
      <c r="H23">
        <v>33</v>
      </c>
      <c r="I23">
        <f t="shared" si="2"/>
        <v>0</v>
      </c>
      <c r="J23" t="str">
        <f t="shared" si="3"/>
        <v>None</v>
      </c>
      <c r="Q23" t="str">
        <f t="shared" si="4"/>
        <v>train</v>
      </c>
    </row>
    <row r="24" spans="1:17" x14ac:dyDescent="0.25">
      <c r="A24" s="6">
        <v>42675</v>
      </c>
      <c r="B24">
        <f t="shared" si="0"/>
        <v>2016</v>
      </c>
      <c r="C24">
        <f t="shared" si="1"/>
        <v>11</v>
      </c>
      <c r="D24" s="7">
        <v>167217</v>
      </c>
      <c r="E24">
        <v>147.77000000000001</v>
      </c>
      <c r="F24">
        <v>15</v>
      </c>
      <c r="G24">
        <v>24</v>
      </c>
      <c r="H24">
        <v>36</v>
      </c>
      <c r="I24">
        <f t="shared" si="2"/>
        <v>0</v>
      </c>
      <c r="J24" t="str">
        <f t="shared" si="3"/>
        <v>None</v>
      </c>
      <c r="Q24" t="str">
        <f t="shared" si="4"/>
        <v>train</v>
      </c>
    </row>
    <row r="25" spans="1:17" x14ac:dyDescent="0.25">
      <c r="A25" s="6">
        <v>42705</v>
      </c>
      <c r="B25">
        <f t="shared" si="0"/>
        <v>2016</v>
      </c>
      <c r="C25">
        <f t="shared" si="1"/>
        <v>12</v>
      </c>
      <c r="D25" s="7">
        <v>224791</v>
      </c>
      <c r="E25">
        <v>148.88</v>
      </c>
      <c r="F25">
        <v>14</v>
      </c>
      <c r="G25">
        <v>27</v>
      </c>
      <c r="H25">
        <v>35</v>
      </c>
      <c r="I25">
        <f t="shared" si="2"/>
        <v>0</v>
      </c>
      <c r="J25" t="str">
        <f t="shared" si="3"/>
        <v>None</v>
      </c>
      <c r="Q25" t="str">
        <f t="shared" si="4"/>
        <v>train</v>
      </c>
    </row>
    <row r="26" spans="1:17" x14ac:dyDescent="0.25">
      <c r="A26" s="6">
        <v>42736</v>
      </c>
      <c r="B26">
        <f t="shared" si="0"/>
        <v>2017</v>
      </c>
      <c r="C26">
        <f t="shared" si="1"/>
        <v>1</v>
      </c>
      <c r="D26" s="7">
        <v>219360</v>
      </c>
      <c r="E26">
        <v>150.09</v>
      </c>
      <c r="F26">
        <v>20</v>
      </c>
      <c r="G26">
        <v>28</v>
      </c>
      <c r="H26">
        <v>38</v>
      </c>
      <c r="I26">
        <f t="shared" si="2"/>
        <v>0</v>
      </c>
      <c r="J26" t="str">
        <f t="shared" si="3"/>
        <v>None</v>
      </c>
      <c r="Q26" t="str">
        <f t="shared" si="4"/>
        <v>train</v>
      </c>
    </row>
    <row r="27" spans="1:17" x14ac:dyDescent="0.25">
      <c r="A27" s="6">
        <v>42767</v>
      </c>
      <c r="B27">
        <f t="shared" si="0"/>
        <v>2017</v>
      </c>
      <c r="C27">
        <f t="shared" si="1"/>
        <v>2</v>
      </c>
      <c r="D27" s="7">
        <v>197517</v>
      </c>
      <c r="E27">
        <v>150.82</v>
      </c>
      <c r="F27">
        <v>17</v>
      </c>
      <c r="G27">
        <v>25</v>
      </c>
      <c r="H27">
        <v>39</v>
      </c>
      <c r="I27">
        <f t="shared" si="2"/>
        <v>0</v>
      </c>
      <c r="J27" t="str">
        <f t="shared" si="3"/>
        <v>None</v>
      </c>
      <c r="Q27" t="str">
        <f t="shared" si="4"/>
        <v>train</v>
      </c>
    </row>
    <row r="28" spans="1:17" x14ac:dyDescent="0.25">
      <c r="A28" s="6">
        <v>42795</v>
      </c>
      <c r="B28">
        <f t="shared" si="0"/>
        <v>2017</v>
      </c>
      <c r="C28">
        <f t="shared" si="1"/>
        <v>3</v>
      </c>
      <c r="D28" s="7">
        <v>188076</v>
      </c>
      <c r="E28">
        <v>151.43</v>
      </c>
      <c r="F28">
        <v>17</v>
      </c>
      <c r="G28">
        <v>23</v>
      </c>
      <c r="H28">
        <v>36</v>
      </c>
      <c r="I28">
        <f t="shared" si="2"/>
        <v>0</v>
      </c>
      <c r="J28" t="str">
        <f t="shared" si="3"/>
        <v>None</v>
      </c>
      <c r="Q28" t="str">
        <f t="shared" si="4"/>
        <v>train</v>
      </c>
    </row>
    <row r="29" spans="1:17" x14ac:dyDescent="0.25">
      <c r="A29" s="6">
        <v>42826</v>
      </c>
      <c r="B29">
        <f t="shared" si="0"/>
        <v>2017</v>
      </c>
      <c r="C29">
        <f t="shared" si="1"/>
        <v>4</v>
      </c>
      <c r="D29" s="7">
        <v>160249</v>
      </c>
      <c r="E29">
        <v>151.76</v>
      </c>
      <c r="F29">
        <v>16</v>
      </c>
      <c r="G29">
        <v>24</v>
      </c>
      <c r="H29">
        <v>33</v>
      </c>
      <c r="I29">
        <f t="shared" si="2"/>
        <v>0</v>
      </c>
      <c r="J29" t="str">
        <f t="shared" si="3"/>
        <v>None</v>
      </c>
      <c r="Q29" t="str">
        <f t="shared" si="4"/>
        <v>train</v>
      </c>
    </row>
    <row r="30" spans="1:17" x14ac:dyDescent="0.25">
      <c r="A30" s="6">
        <v>42856</v>
      </c>
      <c r="B30">
        <f t="shared" si="0"/>
        <v>2017</v>
      </c>
      <c r="C30">
        <f t="shared" si="1"/>
        <v>5</v>
      </c>
      <c r="D30" s="7">
        <v>121891</v>
      </c>
      <c r="E30">
        <v>152.33000000000001</v>
      </c>
      <c r="F30">
        <v>15</v>
      </c>
      <c r="G30">
        <v>22</v>
      </c>
      <c r="H30">
        <v>34</v>
      </c>
      <c r="I30">
        <f t="shared" si="2"/>
        <v>0</v>
      </c>
      <c r="J30" t="str">
        <f t="shared" si="3"/>
        <v>None</v>
      </c>
      <c r="Q30" t="str">
        <f t="shared" si="4"/>
        <v>train</v>
      </c>
    </row>
    <row r="31" spans="1:17" x14ac:dyDescent="0.25">
      <c r="A31" s="6">
        <v>42887</v>
      </c>
      <c r="B31">
        <f t="shared" si="0"/>
        <v>2017</v>
      </c>
      <c r="C31">
        <f t="shared" si="1"/>
        <v>6</v>
      </c>
      <c r="D31" s="7">
        <v>123351</v>
      </c>
      <c r="E31">
        <v>152.83000000000001</v>
      </c>
      <c r="F31">
        <v>16</v>
      </c>
      <c r="G31">
        <v>21</v>
      </c>
      <c r="H31">
        <v>33</v>
      </c>
      <c r="I31">
        <f t="shared" si="2"/>
        <v>0</v>
      </c>
      <c r="J31" t="str">
        <f t="shared" si="3"/>
        <v>None</v>
      </c>
      <c r="Q31" t="str">
        <f t="shared" si="4"/>
        <v>train</v>
      </c>
    </row>
    <row r="32" spans="1:17" x14ac:dyDescent="0.25">
      <c r="A32" s="6">
        <v>42917</v>
      </c>
      <c r="B32">
        <f t="shared" si="0"/>
        <v>2017</v>
      </c>
      <c r="C32">
        <f t="shared" si="1"/>
        <v>7</v>
      </c>
      <c r="D32" s="7">
        <v>205482</v>
      </c>
      <c r="E32">
        <v>153.66999999999999</v>
      </c>
      <c r="F32">
        <v>16</v>
      </c>
      <c r="G32">
        <v>25</v>
      </c>
      <c r="H32">
        <v>37</v>
      </c>
      <c r="I32">
        <f t="shared" si="2"/>
        <v>0</v>
      </c>
      <c r="J32" t="str">
        <f t="shared" si="3"/>
        <v>None</v>
      </c>
      <c r="Q32" t="str">
        <f t="shared" si="4"/>
        <v>train</v>
      </c>
    </row>
    <row r="33" spans="1:17" x14ac:dyDescent="0.25">
      <c r="A33" s="6">
        <v>42948</v>
      </c>
      <c r="B33">
        <f t="shared" si="0"/>
        <v>2017</v>
      </c>
      <c r="C33">
        <f t="shared" si="1"/>
        <v>8</v>
      </c>
      <c r="D33" s="7">
        <v>190928</v>
      </c>
      <c r="E33">
        <v>153.19</v>
      </c>
      <c r="F33">
        <v>18</v>
      </c>
      <c r="G33">
        <v>27</v>
      </c>
      <c r="H33">
        <v>36</v>
      </c>
      <c r="I33">
        <f t="shared" si="2"/>
        <v>0</v>
      </c>
      <c r="J33" t="str">
        <f t="shared" si="3"/>
        <v>None</v>
      </c>
      <c r="Q33" t="str">
        <f t="shared" si="4"/>
        <v>train</v>
      </c>
    </row>
    <row r="34" spans="1:17" x14ac:dyDescent="0.25">
      <c r="A34" s="6">
        <v>42979</v>
      </c>
      <c r="B34">
        <f t="shared" si="0"/>
        <v>2017</v>
      </c>
      <c r="C34">
        <f t="shared" si="1"/>
        <v>9</v>
      </c>
      <c r="D34" s="7">
        <v>145077</v>
      </c>
      <c r="E34">
        <v>152.9</v>
      </c>
      <c r="F34">
        <v>17</v>
      </c>
      <c r="G34">
        <v>24</v>
      </c>
      <c r="H34">
        <v>37</v>
      </c>
      <c r="I34">
        <f t="shared" si="2"/>
        <v>0</v>
      </c>
      <c r="J34" t="str">
        <f t="shared" si="3"/>
        <v>None</v>
      </c>
      <c r="Q34" t="str">
        <f t="shared" si="4"/>
        <v>train</v>
      </c>
    </row>
    <row r="35" spans="1:17" x14ac:dyDescent="0.25">
      <c r="A35" s="6">
        <v>43009</v>
      </c>
      <c r="B35">
        <f t="shared" si="0"/>
        <v>2017</v>
      </c>
      <c r="C35">
        <f t="shared" si="1"/>
        <v>10</v>
      </c>
      <c r="D35" s="7">
        <v>152429</v>
      </c>
      <c r="E35">
        <v>153.53</v>
      </c>
      <c r="F35">
        <v>18</v>
      </c>
      <c r="G35">
        <v>24</v>
      </c>
      <c r="H35">
        <v>37</v>
      </c>
      <c r="I35">
        <f t="shared" si="2"/>
        <v>0</v>
      </c>
      <c r="J35" t="str">
        <f t="shared" si="3"/>
        <v>None</v>
      </c>
      <c r="Q35" t="str">
        <f t="shared" si="4"/>
        <v>train</v>
      </c>
    </row>
    <row r="36" spans="1:17" x14ac:dyDescent="0.25">
      <c r="A36" s="6">
        <v>43040</v>
      </c>
      <c r="B36">
        <f t="shared" si="0"/>
        <v>2017</v>
      </c>
      <c r="C36">
        <f t="shared" si="1"/>
        <v>11</v>
      </c>
      <c r="D36" s="7">
        <v>167511</v>
      </c>
      <c r="E36">
        <v>153.66</v>
      </c>
      <c r="F36">
        <v>18</v>
      </c>
      <c r="G36">
        <v>26</v>
      </c>
      <c r="H36">
        <v>40</v>
      </c>
      <c r="I36">
        <f t="shared" si="2"/>
        <v>0</v>
      </c>
      <c r="J36" t="str">
        <f t="shared" si="3"/>
        <v>None</v>
      </c>
      <c r="Q36" t="str">
        <f t="shared" si="4"/>
        <v>train</v>
      </c>
    </row>
    <row r="37" spans="1:17" x14ac:dyDescent="0.25">
      <c r="A37" s="6">
        <v>43070</v>
      </c>
      <c r="B37">
        <f t="shared" si="0"/>
        <v>2017</v>
      </c>
      <c r="C37">
        <f t="shared" si="1"/>
        <v>12</v>
      </c>
      <c r="D37" s="7">
        <v>244536</v>
      </c>
      <c r="E37">
        <v>153.15</v>
      </c>
      <c r="F37">
        <v>18</v>
      </c>
      <c r="G37">
        <v>27</v>
      </c>
      <c r="H37">
        <v>40</v>
      </c>
      <c r="I37">
        <f t="shared" si="2"/>
        <v>0</v>
      </c>
      <c r="J37" t="str">
        <f t="shared" si="3"/>
        <v>None</v>
      </c>
      <c r="Q37" t="str">
        <f t="shared" si="4"/>
        <v>train</v>
      </c>
    </row>
    <row r="38" spans="1:17" x14ac:dyDescent="0.25">
      <c r="A38" s="6">
        <v>43101</v>
      </c>
      <c r="B38">
        <f t="shared" si="0"/>
        <v>2018</v>
      </c>
      <c r="C38">
        <f t="shared" si="1"/>
        <v>1</v>
      </c>
      <c r="D38" s="7">
        <v>238924</v>
      </c>
      <c r="E38">
        <v>153.80000000000001</v>
      </c>
      <c r="F38">
        <v>24</v>
      </c>
      <c r="G38">
        <v>29</v>
      </c>
      <c r="H38">
        <v>48</v>
      </c>
      <c r="I38">
        <f t="shared" si="2"/>
        <v>0</v>
      </c>
      <c r="J38" t="str">
        <f t="shared" si="3"/>
        <v>None</v>
      </c>
      <c r="Q38" t="str">
        <f t="shared" si="4"/>
        <v>train</v>
      </c>
    </row>
    <row r="39" spans="1:17" x14ac:dyDescent="0.25">
      <c r="A39" s="6">
        <v>43132</v>
      </c>
      <c r="B39">
        <f t="shared" si="0"/>
        <v>2018</v>
      </c>
      <c r="C39">
        <f t="shared" si="1"/>
        <v>2</v>
      </c>
      <c r="D39" s="7">
        <v>235618</v>
      </c>
      <c r="E39">
        <v>154.86000000000001</v>
      </c>
      <c r="F39">
        <v>19</v>
      </c>
      <c r="G39">
        <v>26</v>
      </c>
      <c r="H39">
        <v>42</v>
      </c>
      <c r="I39">
        <f t="shared" si="2"/>
        <v>0</v>
      </c>
      <c r="J39" t="str">
        <f t="shared" si="3"/>
        <v>None</v>
      </c>
      <c r="Q39" t="str">
        <f t="shared" si="4"/>
        <v>train</v>
      </c>
    </row>
    <row r="40" spans="1:17" x14ac:dyDescent="0.25">
      <c r="A40" s="6">
        <v>43160</v>
      </c>
      <c r="B40">
        <f t="shared" si="0"/>
        <v>2018</v>
      </c>
      <c r="C40">
        <f t="shared" si="1"/>
        <v>3</v>
      </c>
      <c r="D40" s="7">
        <v>233382</v>
      </c>
      <c r="E40">
        <v>155.72999999999999</v>
      </c>
      <c r="F40">
        <v>19</v>
      </c>
      <c r="G40">
        <v>24</v>
      </c>
      <c r="H40">
        <v>37</v>
      </c>
      <c r="I40">
        <f t="shared" si="2"/>
        <v>0</v>
      </c>
      <c r="J40" t="str">
        <f t="shared" si="3"/>
        <v>None</v>
      </c>
      <c r="Q40" t="str">
        <f t="shared" si="4"/>
        <v>train</v>
      </c>
    </row>
    <row r="41" spans="1:17" x14ac:dyDescent="0.25">
      <c r="A41" s="6">
        <v>43191</v>
      </c>
      <c r="B41">
        <f t="shared" si="0"/>
        <v>2018</v>
      </c>
      <c r="C41">
        <f t="shared" si="1"/>
        <v>4</v>
      </c>
      <c r="D41" s="7">
        <v>180429</v>
      </c>
      <c r="E41">
        <v>156.13999999999999</v>
      </c>
      <c r="F41">
        <v>18</v>
      </c>
      <c r="G41">
        <v>23</v>
      </c>
      <c r="H41">
        <v>36</v>
      </c>
      <c r="I41">
        <f t="shared" si="2"/>
        <v>0</v>
      </c>
      <c r="J41" t="str">
        <f t="shared" si="3"/>
        <v>None</v>
      </c>
      <c r="Q41" t="str">
        <f t="shared" si="4"/>
        <v>train</v>
      </c>
    </row>
    <row r="42" spans="1:17" x14ac:dyDescent="0.25">
      <c r="A42" s="6">
        <v>43221</v>
      </c>
      <c r="B42">
        <f t="shared" si="0"/>
        <v>2018</v>
      </c>
      <c r="C42">
        <f t="shared" si="1"/>
        <v>5</v>
      </c>
      <c r="D42" s="7">
        <v>129466</v>
      </c>
      <c r="E42">
        <v>157.9</v>
      </c>
      <c r="F42">
        <v>17</v>
      </c>
      <c r="G42">
        <v>20</v>
      </c>
      <c r="H42">
        <v>35</v>
      </c>
      <c r="I42">
        <f t="shared" si="2"/>
        <v>0</v>
      </c>
      <c r="J42" t="str">
        <f t="shared" si="3"/>
        <v>None</v>
      </c>
      <c r="Q42" t="str">
        <f t="shared" si="4"/>
        <v>train</v>
      </c>
    </row>
    <row r="43" spans="1:17" x14ac:dyDescent="0.25">
      <c r="A43" s="6">
        <v>43252</v>
      </c>
      <c r="B43">
        <f t="shared" si="0"/>
        <v>2018</v>
      </c>
      <c r="C43">
        <f t="shared" si="1"/>
        <v>6</v>
      </c>
      <c r="D43" s="7">
        <v>146828</v>
      </c>
      <c r="E43">
        <v>159.07</v>
      </c>
      <c r="F43">
        <v>16</v>
      </c>
      <c r="G43">
        <v>20</v>
      </c>
      <c r="H43">
        <v>34</v>
      </c>
      <c r="I43">
        <f t="shared" si="2"/>
        <v>0</v>
      </c>
      <c r="J43" t="str">
        <f t="shared" si="3"/>
        <v>None</v>
      </c>
      <c r="Q43" t="str">
        <f t="shared" si="4"/>
        <v>train</v>
      </c>
    </row>
    <row r="44" spans="1:17" x14ac:dyDescent="0.25">
      <c r="A44" s="6">
        <v>43282</v>
      </c>
      <c r="B44">
        <f t="shared" si="0"/>
        <v>2018</v>
      </c>
      <c r="C44">
        <f t="shared" si="1"/>
        <v>7</v>
      </c>
      <c r="D44" s="7">
        <v>217829</v>
      </c>
      <c r="E44">
        <v>159.34</v>
      </c>
      <c r="F44">
        <v>19</v>
      </c>
      <c r="G44">
        <v>24</v>
      </c>
      <c r="H44">
        <v>40</v>
      </c>
      <c r="I44">
        <f t="shared" si="2"/>
        <v>0</v>
      </c>
      <c r="J44" t="str">
        <f t="shared" si="3"/>
        <v>None</v>
      </c>
      <c r="Q44" t="str">
        <f t="shared" si="4"/>
        <v>train</v>
      </c>
    </row>
    <row r="45" spans="1:17" x14ac:dyDescent="0.25">
      <c r="A45" s="6">
        <v>43313</v>
      </c>
      <c r="B45">
        <f t="shared" si="0"/>
        <v>2018</v>
      </c>
      <c r="C45">
        <f t="shared" si="1"/>
        <v>8</v>
      </c>
      <c r="D45" s="7">
        <v>200359</v>
      </c>
      <c r="E45">
        <v>160.35</v>
      </c>
      <c r="F45">
        <v>19</v>
      </c>
      <c r="G45">
        <v>26</v>
      </c>
      <c r="H45">
        <v>39</v>
      </c>
      <c r="I45">
        <f t="shared" si="2"/>
        <v>0</v>
      </c>
      <c r="J45" t="str">
        <f t="shared" si="3"/>
        <v>None</v>
      </c>
      <c r="Q45" t="str">
        <f t="shared" si="4"/>
        <v>train</v>
      </c>
    </row>
    <row r="46" spans="1:17" x14ac:dyDescent="0.25">
      <c r="A46" s="6">
        <v>43344</v>
      </c>
      <c r="B46">
        <f t="shared" si="0"/>
        <v>2018</v>
      </c>
      <c r="C46">
        <f t="shared" si="1"/>
        <v>9</v>
      </c>
      <c r="D46" s="7">
        <v>149087</v>
      </c>
      <c r="E46">
        <v>164.42</v>
      </c>
      <c r="F46">
        <v>19</v>
      </c>
      <c r="G46">
        <v>23</v>
      </c>
      <c r="H46">
        <v>36</v>
      </c>
      <c r="I46">
        <f t="shared" si="2"/>
        <v>0</v>
      </c>
      <c r="J46" t="str">
        <f t="shared" si="3"/>
        <v>None</v>
      </c>
      <c r="Q46" t="str">
        <f t="shared" si="4"/>
        <v>train</v>
      </c>
    </row>
    <row r="47" spans="1:17" x14ac:dyDescent="0.25">
      <c r="A47" s="6">
        <v>43374</v>
      </c>
      <c r="B47">
        <f t="shared" si="0"/>
        <v>2018</v>
      </c>
      <c r="C47">
        <f t="shared" si="1"/>
        <v>10</v>
      </c>
      <c r="D47" s="7">
        <v>153123</v>
      </c>
      <c r="E47">
        <v>171.22</v>
      </c>
      <c r="F47">
        <v>20</v>
      </c>
      <c r="G47">
        <v>22</v>
      </c>
      <c r="H47">
        <v>41</v>
      </c>
      <c r="I47">
        <f t="shared" si="2"/>
        <v>0</v>
      </c>
      <c r="J47" t="str">
        <f t="shared" si="3"/>
        <v>None</v>
      </c>
      <c r="Q47" t="str">
        <f t="shared" si="4"/>
        <v>train</v>
      </c>
    </row>
    <row r="48" spans="1:17" x14ac:dyDescent="0.25">
      <c r="A48" s="6">
        <v>43405</v>
      </c>
      <c r="B48">
        <f t="shared" si="0"/>
        <v>2018</v>
      </c>
      <c r="C48">
        <f t="shared" si="1"/>
        <v>11</v>
      </c>
      <c r="D48" s="7">
        <v>195582</v>
      </c>
      <c r="E48">
        <v>176.85</v>
      </c>
      <c r="F48">
        <v>19</v>
      </c>
      <c r="G48">
        <v>23</v>
      </c>
      <c r="H48">
        <v>41</v>
      </c>
      <c r="I48">
        <f t="shared" si="2"/>
        <v>0</v>
      </c>
      <c r="J48" t="str">
        <f t="shared" si="3"/>
        <v>None</v>
      </c>
      <c r="Q48" t="str">
        <f t="shared" si="4"/>
        <v>train</v>
      </c>
    </row>
    <row r="49" spans="1:17" x14ac:dyDescent="0.25">
      <c r="A49" s="6">
        <v>43435</v>
      </c>
      <c r="B49">
        <f t="shared" si="0"/>
        <v>2018</v>
      </c>
      <c r="C49">
        <f t="shared" si="1"/>
        <v>12</v>
      </c>
      <c r="D49" s="7">
        <v>253169</v>
      </c>
      <c r="E49">
        <v>180.1</v>
      </c>
      <c r="F49">
        <v>19</v>
      </c>
      <c r="G49">
        <v>25</v>
      </c>
      <c r="H49">
        <v>40</v>
      </c>
      <c r="I49">
        <f t="shared" si="2"/>
        <v>0</v>
      </c>
      <c r="J49" t="str">
        <f t="shared" si="3"/>
        <v>None</v>
      </c>
      <c r="Q49" t="str">
        <f t="shared" si="4"/>
        <v>train</v>
      </c>
    </row>
    <row r="50" spans="1:17" x14ac:dyDescent="0.25">
      <c r="A50" s="6">
        <v>43466</v>
      </c>
      <c r="B50">
        <f t="shared" si="0"/>
        <v>2019</v>
      </c>
      <c r="C50">
        <f t="shared" si="1"/>
        <v>1</v>
      </c>
      <c r="D50" s="7">
        <v>244239</v>
      </c>
      <c r="E50">
        <v>182.13</v>
      </c>
      <c r="F50">
        <v>25</v>
      </c>
      <c r="G50">
        <v>26</v>
      </c>
      <c r="H50">
        <v>44</v>
      </c>
      <c r="I50">
        <f t="shared" si="2"/>
        <v>0</v>
      </c>
      <c r="J50" t="str">
        <f t="shared" si="3"/>
        <v>None</v>
      </c>
      <c r="Q50" t="str">
        <f t="shared" si="4"/>
        <v>train</v>
      </c>
    </row>
    <row r="51" spans="1:17" x14ac:dyDescent="0.25">
      <c r="A51" s="6">
        <v>43497</v>
      </c>
      <c r="B51">
        <f t="shared" si="0"/>
        <v>2019</v>
      </c>
      <c r="C51">
        <f t="shared" si="1"/>
        <v>2</v>
      </c>
      <c r="D51" s="7">
        <v>252033</v>
      </c>
      <c r="E51">
        <v>178.73</v>
      </c>
      <c r="F51">
        <v>22</v>
      </c>
      <c r="G51">
        <v>25</v>
      </c>
      <c r="H51">
        <v>42</v>
      </c>
      <c r="I51">
        <f t="shared" si="2"/>
        <v>0</v>
      </c>
      <c r="J51" t="str">
        <f t="shared" si="3"/>
        <v>None</v>
      </c>
      <c r="Q51" t="str">
        <f t="shared" si="4"/>
        <v>train</v>
      </c>
    </row>
    <row r="52" spans="1:17" x14ac:dyDescent="0.25">
      <c r="A52" s="6">
        <v>43525</v>
      </c>
      <c r="B52">
        <f t="shared" si="0"/>
        <v>2019</v>
      </c>
      <c r="C52">
        <f t="shared" si="1"/>
        <v>3</v>
      </c>
      <c r="D52" s="7">
        <v>244328</v>
      </c>
      <c r="E52">
        <v>178.43</v>
      </c>
      <c r="F52">
        <v>22</v>
      </c>
      <c r="G52">
        <v>23</v>
      </c>
      <c r="H52">
        <v>41</v>
      </c>
      <c r="I52">
        <f t="shared" si="2"/>
        <v>0</v>
      </c>
      <c r="J52" t="str">
        <f t="shared" si="3"/>
        <v>None</v>
      </c>
      <c r="Q52" t="str">
        <f t="shared" si="4"/>
        <v>train</v>
      </c>
    </row>
    <row r="53" spans="1:17" x14ac:dyDescent="0.25">
      <c r="A53" s="6">
        <v>43556</v>
      </c>
      <c r="B53">
        <f t="shared" si="0"/>
        <v>2019</v>
      </c>
      <c r="C53">
        <f t="shared" si="1"/>
        <v>4</v>
      </c>
      <c r="D53" s="7">
        <v>166975</v>
      </c>
      <c r="E53">
        <v>174.8</v>
      </c>
      <c r="F53">
        <v>25</v>
      </c>
      <c r="G53">
        <v>43</v>
      </c>
      <c r="H53">
        <v>37</v>
      </c>
      <c r="I53">
        <f t="shared" si="2"/>
        <v>1</v>
      </c>
      <c r="J53" t="str">
        <f t="shared" si="3"/>
        <v>Easter Attack</v>
      </c>
      <c r="Q53" t="str">
        <f t="shared" si="4"/>
        <v>train</v>
      </c>
    </row>
    <row r="54" spans="1:17" x14ac:dyDescent="0.25">
      <c r="A54" s="6">
        <v>43586</v>
      </c>
      <c r="B54">
        <f t="shared" si="0"/>
        <v>2019</v>
      </c>
      <c r="C54">
        <f t="shared" si="1"/>
        <v>5</v>
      </c>
      <c r="D54" s="7">
        <v>37802</v>
      </c>
      <c r="E54">
        <v>176.44</v>
      </c>
      <c r="F54">
        <v>12</v>
      </c>
      <c r="G54">
        <v>16</v>
      </c>
      <c r="H54">
        <v>31</v>
      </c>
      <c r="I54">
        <f t="shared" si="2"/>
        <v>0</v>
      </c>
      <c r="J54" t="str">
        <f t="shared" si="3"/>
        <v>None</v>
      </c>
      <c r="Q54" t="str">
        <f t="shared" si="4"/>
        <v>train</v>
      </c>
    </row>
    <row r="55" spans="1:17" x14ac:dyDescent="0.25">
      <c r="A55" s="6">
        <v>43617</v>
      </c>
      <c r="B55">
        <f t="shared" si="0"/>
        <v>2019</v>
      </c>
      <c r="C55">
        <f t="shared" si="1"/>
        <v>6</v>
      </c>
      <c r="D55" s="7">
        <v>63072</v>
      </c>
      <c r="E55">
        <v>176.59</v>
      </c>
      <c r="F55">
        <v>14</v>
      </c>
      <c r="G55">
        <v>17</v>
      </c>
      <c r="H55">
        <v>31</v>
      </c>
      <c r="I55">
        <f t="shared" si="2"/>
        <v>0</v>
      </c>
      <c r="J55" t="str">
        <f t="shared" si="3"/>
        <v>None</v>
      </c>
      <c r="Q55" t="str">
        <f t="shared" si="4"/>
        <v>train</v>
      </c>
    </row>
    <row r="56" spans="1:17" x14ac:dyDescent="0.25">
      <c r="A56" s="6">
        <v>43647</v>
      </c>
      <c r="B56">
        <f t="shared" si="0"/>
        <v>2019</v>
      </c>
      <c r="C56">
        <f t="shared" si="1"/>
        <v>7</v>
      </c>
      <c r="D56" s="7">
        <v>115701</v>
      </c>
      <c r="E56">
        <v>175.99</v>
      </c>
      <c r="F56">
        <v>17</v>
      </c>
      <c r="G56">
        <v>19</v>
      </c>
      <c r="H56">
        <v>39</v>
      </c>
      <c r="I56">
        <f t="shared" si="2"/>
        <v>0</v>
      </c>
      <c r="J56" t="str">
        <f t="shared" si="3"/>
        <v>None</v>
      </c>
      <c r="Q56" t="str">
        <f t="shared" si="4"/>
        <v>train</v>
      </c>
    </row>
    <row r="57" spans="1:17" x14ac:dyDescent="0.25">
      <c r="A57" s="6">
        <v>43678</v>
      </c>
      <c r="B57">
        <f t="shared" si="0"/>
        <v>2019</v>
      </c>
      <c r="C57">
        <f t="shared" si="1"/>
        <v>8</v>
      </c>
      <c r="D57" s="7">
        <v>143587</v>
      </c>
      <c r="E57">
        <v>177.97</v>
      </c>
      <c r="F57">
        <v>17</v>
      </c>
      <c r="G57">
        <v>22</v>
      </c>
      <c r="H57">
        <v>38</v>
      </c>
      <c r="I57">
        <f t="shared" si="2"/>
        <v>0</v>
      </c>
      <c r="J57" t="str">
        <f t="shared" si="3"/>
        <v>None</v>
      </c>
      <c r="Q57" t="str">
        <f t="shared" si="4"/>
        <v>train</v>
      </c>
    </row>
    <row r="58" spans="1:17" x14ac:dyDescent="0.25">
      <c r="A58" s="6">
        <v>43709</v>
      </c>
      <c r="B58">
        <f t="shared" si="0"/>
        <v>2019</v>
      </c>
      <c r="C58">
        <f t="shared" si="1"/>
        <v>9</v>
      </c>
      <c r="D58" s="7">
        <v>108575</v>
      </c>
      <c r="E58">
        <v>180.78</v>
      </c>
      <c r="F58">
        <v>16</v>
      </c>
      <c r="G58">
        <v>21</v>
      </c>
      <c r="H58">
        <v>34</v>
      </c>
      <c r="I58">
        <f t="shared" si="2"/>
        <v>0</v>
      </c>
      <c r="J58" t="str">
        <f t="shared" si="3"/>
        <v>None</v>
      </c>
      <c r="Q58" t="str">
        <f t="shared" si="4"/>
        <v>train</v>
      </c>
    </row>
    <row r="59" spans="1:17" x14ac:dyDescent="0.25">
      <c r="A59" s="6">
        <v>43739</v>
      </c>
      <c r="B59">
        <f t="shared" si="0"/>
        <v>2019</v>
      </c>
      <c r="C59">
        <f t="shared" si="1"/>
        <v>10</v>
      </c>
      <c r="D59" s="7">
        <v>118743</v>
      </c>
      <c r="E59">
        <v>181.45</v>
      </c>
      <c r="F59">
        <v>18</v>
      </c>
      <c r="G59">
        <v>19</v>
      </c>
      <c r="H59">
        <v>34</v>
      </c>
      <c r="I59">
        <f t="shared" si="2"/>
        <v>0</v>
      </c>
      <c r="J59" t="str">
        <f t="shared" si="3"/>
        <v>None</v>
      </c>
      <c r="Q59" t="str">
        <f t="shared" si="4"/>
        <v>train</v>
      </c>
    </row>
    <row r="60" spans="1:17" x14ac:dyDescent="0.25">
      <c r="A60" s="6">
        <v>43770</v>
      </c>
      <c r="B60">
        <f t="shared" si="0"/>
        <v>2019</v>
      </c>
      <c r="C60">
        <f t="shared" si="1"/>
        <v>11</v>
      </c>
      <c r="D60" s="7">
        <v>176984</v>
      </c>
      <c r="E60">
        <v>180.37</v>
      </c>
      <c r="F60">
        <v>18</v>
      </c>
      <c r="G60">
        <v>21</v>
      </c>
      <c r="H60">
        <v>38</v>
      </c>
      <c r="I60">
        <f t="shared" si="2"/>
        <v>0</v>
      </c>
      <c r="J60" t="str">
        <f t="shared" si="3"/>
        <v>None</v>
      </c>
      <c r="Q60" t="str">
        <f t="shared" si="4"/>
        <v>train</v>
      </c>
    </row>
    <row r="61" spans="1:17" x14ac:dyDescent="0.25">
      <c r="A61" s="6">
        <v>43800</v>
      </c>
      <c r="B61">
        <f t="shared" si="0"/>
        <v>2019</v>
      </c>
      <c r="C61">
        <f t="shared" si="1"/>
        <v>12</v>
      </c>
      <c r="D61" s="7">
        <v>241663</v>
      </c>
      <c r="E61">
        <v>181.25</v>
      </c>
      <c r="F61">
        <v>22</v>
      </c>
      <c r="G61">
        <v>27</v>
      </c>
      <c r="H61">
        <v>37</v>
      </c>
      <c r="I61">
        <f t="shared" si="2"/>
        <v>0</v>
      </c>
      <c r="J61" t="str">
        <f t="shared" si="3"/>
        <v>None</v>
      </c>
      <c r="Q61" t="str">
        <f t="shared" si="4"/>
        <v>train</v>
      </c>
    </row>
    <row r="62" spans="1:17" x14ac:dyDescent="0.25">
      <c r="A62" s="6">
        <v>43831</v>
      </c>
      <c r="B62">
        <f t="shared" si="0"/>
        <v>2020</v>
      </c>
      <c r="C62">
        <f t="shared" si="1"/>
        <v>1</v>
      </c>
      <c r="D62" s="7">
        <v>228434</v>
      </c>
      <c r="E62">
        <v>181.4</v>
      </c>
      <c r="F62">
        <v>26</v>
      </c>
      <c r="G62">
        <v>27</v>
      </c>
      <c r="H62">
        <v>44</v>
      </c>
      <c r="I62">
        <f t="shared" si="2"/>
        <v>0</v>
      </c>
      <c r="J62" t="str">
        <f t="shared" si="3"/>
        <v>None</v>
      </c>
      <c r="Q62" t="str">
        <f t="shared" si="4"/>
        <v>train</v>
      </c>
    </row>
    <row r="63" spans="1:17" x14ac:dyDescent="0.25">
      <c r="A63" s="6">
        <v>43862</v>
      </c>
      <c r="B63">
        <f t="shared" si="0"/>
        <v>2020</v>
      </c>
      <c r="C63">
        <f t="shared" si="1"/>
        <v>2</v>
      </c>
      <c r="D63" s="7">
        <v>207507</v>
      </c>
      <c r="E63">
        <v>181.56</v>
      </c>
      <c r="F63">
        <v>17</v>
      </c>
      <c r="G63">
        <v>21</v>
      </c>
      <c r="H63">
        <v>36</v>
      </c>
      <c r="I63">
        <f t="shared" si="2"/>
        <v>0</v>
      </c>
      <c r="J63" t="str">
        <f t="shared" si="3"/>
        <v>None</v>
      </c>
      <c r="Q63" t="str">
        <f t="shared" si="4"/>
        <v>train</v>
      </c>
    </row>
    <row r="64" spans="1:17" x14ac:dyDescent="0.25">
      <c r="A64" s="6">
        <v>43891</v>
      </c>
      <c r="B64">
        <f t="shared" si="0"/>
        <v>2020</v>
      </c>
      <c r="C64">
        <f t="shared" si="1"/>
        <v>3</v>
      </c>
      <c r="D64" s="7">
        <v>71370</v>
      </c>
      <c r="E64">
        <v>185.06</v>
      </c>
      <c r="F64">
        <v>17</v>
      </c>
      <c r="G64">
        <v>12</v>
      </c>
      <c r="H64">
        <v>20</v>
      </c>
      <c r="I64">
        <f t="shared" si="2"/>
        <v>1</v>
      </c>
      <c r="J64" t="str">
        <f t="shared" si="3"/>
        <v>COVID-19</v>
      </c>
      <c r="Q64" t="str">
        <f t="shared" si="4"/>
        <v>train</v>
      </c>
    </row>
    <row r="65" spans="1:17" x14ac:dyDescent="0.25">
      <c r="A65" s="6">
        <v>43922</v>
      </c>
      <c r="B65">
        <f t="shared" si="0"/>
        <v>2020</v>
      </c>
      <c r="C65">
        <f t="shared" si="1"/>
        <v>4</v>
      </c>
      <c r="D65" s="7">
        <v>0</v>
      </c>
      <c r="E65">
        <v>193.09</v>
      </c>
      <c r="F65">
        <v>6</v>
      </c>
      <c r="G65">
        <v>8</v>
      </c>
      <c r="H65">
        <v>7</v>
      </c>
      <c r="I65">
        <f t="shared" si="2"/>
        <v>1</v>
      </c>
      <c r="J65" t="str">
        <f t="shared" si="3"/>
        <v>COVID-19</v>
      </c>
      <c r="Q65" t="str">
        <f t="shared" si="4"/>
        <v>train</v>
      </c>
    </row>
    <row r="66" spans="1:17" x14ac:dyDescent="0.25">
      <c r="A66" s="6">
        <v>43952</v>
      </c>
      <c r="B66">
        <f t="shared" si="0"/>
        <v>2020</v>
      </c>
      <c r="C66">
        <f t="shared" si="1"/>
        <v>5</v>
      </c>
      <c r="D66" s="7">
        <v>0</v>
      </c>
      <c r="E66">
        <v>187.87</v>
      </c>
      <c r="F66">
        <v>7</v>
      </c>
      <c r="G66">
        <v>8</v>
      </c>
      <c r="H66">
        <v>7</v>
      </c>
      <c r="I66">
        <f t="shared" si="2"/>
        <v>1</v>
      </c>
      <c r="J66" t="str">
        <f t="shared" si="3"/>
        <v>COVID-19</v>
      </c>
      <c r="Q66" t="str">
        <f t="shared" si="4"/>
        <v>train</v>
      </c>
    </row>
    <row r="67" spans="1:17" x14ac:dyDescent="0.25">
      <c r="A67" s="6">
        <v>43983</v>
      </c>
      <c r="B67">
        <f t="shared" ref="B67:B130" si="5">YEAR(A67)</f>
        <v>2020</v>
      </c>
      <c r="C67">
        <f t="shared" ref="C67:C130" si="6">MONTH(A67)</f>
        <v>6</v>
      </c>
      <c r="D67" s="7">
        <v>0</v>
      </c>
      <c r="E67">
        <v>185.95</v>
      </c>
      <c r="F67">
        <v>7</v>
      </c>
      <c r="G67">
        <v>12</v>
      </c>
      <c r="H67">
        <v>8</v>
      </c>
      <c r="I67">
        <f t="shared" ref="I67:I130" si="7">IF(J67="None",0,1)</f>
        <v>1</v>
      </c>
      <c r="J67" t="str">
        <f t="shared" ref="J67:J130" si="8">IF(AND(YEAR(A67)=2019,MONTH(A67)=4),"Easter Attack",
 IF(OR(AND(YEAR(A67)=2020,MONTH(A67)&gt;=3),AND(YEAR(A67)=2021)),"COVID-19",
 IF(YEAR(A67)=2022,"Economic Crisis","None")))</f>
        <v>COVID-19</v>
      </c>
      <c r="Q67" t="str">
        <f t="shared" ref="Q67:Q130" si="9">IF(YEAR(A67)&lt;=2021,"train","test")</f>
        <v>train</v>
      </c>
    </row>
    <row r="68" spans="1:17" x14ac:dyDescent="0.25">
      <c r="A68" s="6">
        <v>44013</v>
      </c>
      <c r="B68">
        <f t="shared" si="5"/>
        <v>2020</v>
      </c>
      <c r="C68">
        <f t="shared" si="6"/>
        <v>7</v>
      </c>
      <c r="D68" s="7">
        <v>0</v>
      </c>
      <c r="E68">
        <v>185.85</v>
      </c>
      <c r="F68">
        <v>7</v>
      </c>
      <c r="G68">
        <v>13</v>
      </c>
      <c r="H68">
        <v>8</v>
      </c>
      <c r="I68">
        <f t="shared" si="7"/>
        <v>1</v>
      </c>
      <c r="J68" t="str">
        <f t="shared" si="8"/>
        <v>COVID-19</v>
      </c>
      <c r="Q68" t="str">
        <f t="shared" si="9"/>
        <v>train</v>
      </c>
    </row>
    <row r="69" spans="1:17" x14ac:dyDescent="0.25">
      <c r="A69" s="6">
        <v>44044</v>
      </c>
      <c r="B69">
        <f t="shared" si="5"/>
        <v>2020</v>
      </c>
      <c r="C69">
        <f t="shared" si="6"/>
        <v>8</v>
      </c>
      <c r="D69" s="7">
        <v>0</v>
      </c>
      <c r="E69">
        <v>184.89</v>
      </c>
      <c r="F69">
        <v>7</v>
      </c>
      <c r="G69">
        <v>14</v>
      </c>
      <c r="H69">
        <v>8</v>
      </c>
      <c r="I69">
        <f t="shared" si="7"/>
        <v>1</v>
      </c>
      <c r="J69" t="str">
        <f t="shared" si="8"/>
        <v>COVID-19</v>
      </c>
      <c r="Q69" t="str">
        <f t="shared" si="9"/>
        <v>train</v>
      </c>
    </row>
    <row r="70" spans="1:17" x14ac:dyDescent="0.25">
      <c r="A70" s="6">
        <v>44075</v>
      </c>
      <c r="B70">
        <f t="shared" si="5"/>
        <v>2020</v>
      </c>
      <c r="C70">
        <f t="shared" si="6"/>
        <v>9</v>
      </c>
      <c r="D70" s="7">
        <v>0</v>
      </c>
      <c r="E70">
        <v>185.03</v>
      </c>
      <c r="F70">
        <v>6</v>
      </c>
      <c r="G70">
        <v>13</v>
      </c>
      <c r="H70">
        <v>8</v>
      </c>
      <c r="I70">
        <f t="shared" si="7"/>
        <v>1</v>
      </c>
      <c r="J70" t="str">
        <f t="shared" si="8"/>
        <v>COVID-19</v>
      </c>
      <c r="Q70" t="str">
        <f t="shared" si="9"/>
        <v>train</v>
      </c>
    </row>
    <row r="71" spans="1:17" x14ac:dyDescent="0.25">
      <c r="A71" s="6">
        <v>44105</v>
      </c>
      <c r="B71">
        <f t="shared" si="5"/>
        <v>2020</v>
      </c>
      <c r="C71">
        <f t="shared" si="6"/>
        <v>10</v>
      </c>
      <c r="D71" s="7">
        <v>0</v>
      </c>
      <c r="E71">
        <v>184.44</v>
      </c>
      <c r="F71">
        <v>5</v>
      </c>
      <c r="G71">
        <v>9</v>
      </c>
      <c r="H71">
        <v>7</v>
      </c>
      <c r="I71">
        <f t="shared" si="7"/>
        <v>1</v>
      </c>
      <c r="J71" t="str">
        <f t="shared" si="8"/>
        <v>COVID-19</v>
      </c>
      <c r="Q71" t="str">
        <f t="shared" si="9"/>
        <v>train</v>
      </c>
    </row>
    <row r="72" spans="1:17" x14ac:dyDescent="0.25">
      <c r="A72" s="6">
        <v>44136</v>
      </c>
      <c r="B72">
        <f t="shared" si="5"/>
        <v>2020</v>
      </c>
      <c r="C72">
        <f t="shared" si="6"/>
        <v>11</v>
      </c>
      <c r="D72" s="7">
        <v>0</v>
      </c>
      <c r="E72">
        <v>184.79</v>
      </c>
      <c r="F72">
        <v>6</v>
      </c>
      <c r="G72">
        <v>9</v>
      </c>
      <c r="H72">
        <v>7</v>
      </c>
      <c r="I72">
        <f t="shared" si="7"/>
        <v>1</v>
      </c>
      <c r="J72" t="str">
        <f t="shared" si="8"/>
        <v>COVID-19</v>
      </c>
      <c r="Q72" t="str">
        <f t="shared" si="9"/>
        <v>train</v>
      </c>
    </row>
    <row r="73" spans="1:17" x14ac:dyDescent="0.25">
      <c r="A73" s="6">
        <v>44166</v>
      </c>
      <c r="B73">
        <f t="shared" si="5"/>
        <v>2020</v>
      </c>
      <c r="C73">
        <f t="shared" si="6"/>
        <v>12</v>
      </c>
      <c r="D73">
        <v>393</v>
      </c>
      <c r="E73">
        <v>187.18</v>
      </c>
      <c r="F73">
        <v>7</v>
      </c>
      <c r="G73">
        <v>13</v>
      </c>
      <c r="H73">
        <v>9</v>
      </c>
      <c r="I73">
        <f t="shared" si="7"/>
        <v>1</v>
      </c>
      <c r="J73" t="str">
        <f t="shared" si="8"/>
        <v>COVID-19</v>
      </c>
      <c r="Q73" t="str">
        <f t="shared" si="9"/>
        <v>train</v>
      </c>
    </row>
    <row r="74" spans="1:17" x14ac:dyDescent="0.25">
      <c r="A74" s="6">
        <v>44197</v>
      </c>
      <c r="B74">
        <f t="shared" si="5"/>
        <v>2021</v>
      </c>
      <c r="C74">
        <f t="shared" si="6"/>
        <v>1</v>
      </c>
      <c r="D74" s="7">
        <v>1682</v>
      </c>
      <c r="E74">
        <v>190.49</v>
      </c>
      <c r="F74">
        <v>8</v>
      </c>
      <c r="G74">
        <v>15</v>
      </c>
      <c r="H74">
        <v>10</v>
      </c>
      <c r="I74">
        <f t="shared" si="7"/>
        <v>1</v>
      </c>
      <c r="J74" t="str">
        <f t="shared" si="8"/>
        <v>COVID-19</v>
      </c>
      <c r="Q74" t="str">
        <f t="shared" si="9"/>
        <v>train</v>
      </c>
    </row>
    <row r="75" spans="1:17" x14ac:dyDescent="0.25">
      <c r="A75" s="6">
        <v>44228</v>
      </c>
      <c r="B75">
        <f t="shared" si="5"/>
        <v>2021</v>
      </c>
      <c r="C75">
        <f t="shared" si="6"/>
        <v>2</v>
      </c>
      <c r="D75" s="7">
        <v>3366</v>
      </c>
      <c r="E75">
        <v>194.07</v>
      </c>
      <c r="F75">
        <v>6</v>
      </c>
      <c r="G75">
        <v>15</v>
      </c>
      <c r="H75">
        <v>10</v>
      </c>
      <c r="I75">
        <f t="shared" si="7"/>
        <v>1</v>
      </c>
      <c r="J75" t="str">
        <f t="shared" si="8"/>
        <v>COVID-19</v>
      </c>
      <c r="Q75" t="str">
        <f t="shared" si="9"/>
        <v>train</v>
      </c>
    </row>
    <row r="76" spans="1:17" x14ac:dyDescent="0.25">
      <c r="A76" s="6">
        <v>44256</v>
      </c>
      <c r="B76">
        <f t="shared" si="5"/>
        <v>2021</v>
      </c>
      <c r="C76">
        <f t="shared" si="6"/>
        <v>3</v>
      </c>
      <c r="D76" s="7">
        <v>4581</v>
      </c>
      <c r="E76">
        <v>196.98</v>
      </c>
      <c r="F76">
        <v>6</v>
      </c>
      <c r="G76">
        <v>16</v>
      </c>
      <c r="H76">
        <v>11</v>
      </c>
      <c r="I76">
        <f t="shared" si="7"/>
        <v>1</v>
      </c>
      <c r="J76" t="str">
        <f t="shared" si="8"/>
        <v>COVID-19</v>
      </c>
      <c r="Q76" t="str">
        <f t="shared" si="9"/>
        <v>train</v>
      </c>
    </row>
    <row r="77" spans="1:17" x14ac:dyDescent="0.25">
      <c r="A77" s="6">
        <v>44287</v>
      </c>
      <c r="B77">
        <f t="shared" si="5"/>
        <v>2021</v>
      </c>
      <c r="C77">
        <f t="shared" si="6"/>
        <v>4</v>
      </c>
      <c r="D77" s="7">
        <v>4168</v>
      </c>
      <c r="E77">
        <v>197.42</v>
      </c>
      <c r="F77">
        <v>7</v>
      </c>
      <c r="G77">
        <v>18</v>
      </c>
      <c r="H77">
        <v>10</v>
      </c>
      <c r="I77">
        <f t="shared" si="7"/>
        <v>1</v>
      </c>
      <c r="J77" t="str">
        <f t="shared" si="8"/>
        <v>COVID-19</v>
      </c>
      <c r="Q77" t="str">
        <f t="shared" si="9"/>
        <v>train</v>
      </c>
    </row>
    <row r="78" spans="1:17" x14ac:dyDescent="0.25">
      <c r="A78" s="6">
        <v>44317</v>
      </c>
      <c r="B78">
        <f t="shared" si="5"/>
        <v>2021</v>
      </c>
      <c r="C78">
        <f t="shared" si="6"/>
        <v>5</v>
      </c>
      <c r="D78" s="7">
        <v>1497</v>
      </c>
      <c r="E78">
        <v>199.58</v>
      </c>
      <c r="F78">
        <v>7</v>
      </c>
      <c r="G78">
        <v>11</v>
      </c>
      <c r="H78">
        <v>10</v>
      </c>
      <c r="I78">
        <f t="shared" si="7"/>
        <v>1</v>
      </c>
      <c r="J78" t="str">
        <f t="shared" si="8"/>
        <v>COVID-19</v>
      </c>
      <c r="Q78" t="str">
        <f t="shared" si="9"/>
        <v>train</v>
      </c>
    </row>
    <row r="79" spans="1:17" x14ac:dyDescent="0.25">
      <c r="A79" s="6">
        <v>44348</v>
      </c>
      <c r="B79">
        <f t="shared" si="5"/>
        <v>2021</v>
      </c>
      <c r="C79">
        <f t="shared" si="6"/>
        <v>6</v>
      </c>
      <c r="D79" s="7">
        <v>1614</v>
      </c>
      <c r="E79">
        <v>199.82</v>
      </c>
      <c r="F79">
        <v>6</v>
      </c>
      <c r="G79">
        <v>9</v>
      </c>
      <c r="H79">
        <v>12</v>
      </c>
      <c r="I79">
        <f t="shared" si="7"/>
        <v>1</v>
      </c>
      <c r="J79" t="str">
        <f t="shared" si="8"/>
        <v>COVID-19</v>
      </c>
      <c r="Q79" t="str">
        <f t="shared" si="9"/>
        <v>train</v>
      </c>
    </row>
    <row r="80" spans="1:17" x14ac:dyDescent="0.25">
      <c r="A80" s="6">
        <v>44378</v>
      </c>
      <c r="B80">
        <f t="shared" si="5"/>
        <v>2021</v>
      </c>
      <c r="C80">
        <f t="shared" si="6"/>
        <v>7</v>
      </c>
      <c r="D80" s="7">
        <v>2429</v>
      </c>
      <c r="E80">
        <v>199.98</v>
      </c>
      <c r="F80">
        <v>7</v>
      </c>
      <c r="G80">
        <v>12</v>
      </c>
      <c r="H80">
        <v>15</v>
      </c>
      <c r="I80">
        <f t="shared" si="7"/>
        <v>1</v>
      </c>
      <c r="J80" t="str">
        <f t="shared" si="8"/>
        <v>COVID-19</v>
      </c>
      <c r="Q80" t="str">
        <f t="shared" si="9"/>
        <v>train</v>
      </c>
    </row>
    <row r="81" spans="1:17" x14ac:dyDescent="0.25">
      <c r="A81" s="6">
        <v>44409</v>
      </c>
      <c r="B81">
        <f t="shared" si="5"/>
        <v>2021</v>
      </c>
      <c r="C81">
        <f t="shared" si="6"/>
        <v>8</v>
      </c>
      <c r="D81" s="7">
        <v>5040</v>
      </c>
      <c r="E81">
        <v>200.5</v>
      </c>
      <c r="F81">
        <v>6</v>
      </c>
      <c r="G81">
        <v>12</v>
      </c>
      <c r="H81">
        <v>14</v>
      </c>
      <c r="I81">
        <f t="shared" si="7"/>
        <v>1</v>
      </c>
      <c r="J81" t="str">
        <f t="shared" si="8"/>
        <v>COVID-19</v>
      </c>
      <c r="Q81" t="str">
        <f t="shared" si="9"/>
        <v>train</v>
      </c>
    </row>
    <row r="82" spans="1:17" x14ac:dyDescent="0.25">
      <c r="A82" s="6">
        <v>44440</v>
      </c>
      <c r="B82">
        <f t="shared" si="5"/>
        <v>2021</v>
      </c>
      <c r="C82">
        <f t="shared" si="6"/>
        <v>9</v>
      </c>
      <c r="D82" s="7">
        <v>13547</v>
      </c>
      <c r="E82">
        <v>201.99</v>
      </c>
      <c r="F82">
        <v>7</v>
      </c>
      <c r="G82">
        <v>12</v>
      </c>
      <c r="H82">
        <v>17</v>
      </c>
      <c r="I82">
        <f t="shared" si="7"/>
        <v>1</v>
      </c>
      <c r="J82" t="str">
        <f t="shared" si="8"/>
        <v>COVID-19</v>
      </c>
      <c r="Q82" t="str">
        <f t="shared" si="9"/>
        <v>train</v>
      </c>
    </row>
    <row r="83" spans="1:17" x14ac:dyDescent="0.25">
      <c r="A83" s="6">
        <v>44470</v>
      </c>
      <c r="B83">
        <f t="shared" si="5"/>
        <v>2021</v>
      </c>
      <c r="C83">
        <f t="shared" si="6"/>
        <v>10</v>
      </c>
      <c r="D83" s="7">
        <v>22771</v>
      </c>
      <c r="E83">
        <v>201.09</v>
      </c>
      <c r="F83">
        <v>9</v>
      </c>
      <c r="G83">
        <v>18</v>
      </c>
      <c r="H83">
        <v>20</v>
      </c>
      <c r="I83">
        <f t="shared" si="7"/>
        <v>1</v>
      </c>
      <c r="J83" t="str">
        <f t="shared" si="8"/>
        <v>COVID-19</v>
      </c>
      <c r="Q83" t="str">
        <f t="shared" si="9"/>
        <v>train</v>
      </c>
    </row>
    <row r="84" spans="1:17" x14ac:dyDescent="0.25">
      <c r="A84" s="6">
        <v>44501</v>
      </c>
      <c r="B84">
        <f t="shared" si="5"/>
        <v>2021</v>
      </c>
      <c r="C84">
        <f t="shared" si="6"/>
        <v>11</v>
      </c>
      <c r="D84" s="7">
        <v>44294</v>
      </c>
      <c r="E84">
        <v>201.86</v>
      </c>
      <c r="F84">
        <v>11</v>
      </c>
      <c r="G84">
        <v>17</v>
      </c>
      <c r="H84">
        <v>24</v>
      </c>
      <c r="I84">
        <f t="shared" si="7"/>
        <v>1</v>
      </c>
      <c r="J84" t="str">
        <f t="shared" si="8"/>
        <v>COVID-19</v>
      </c>
      <c r="Q84" t="str">
        <f t="shared" si="9"/>
        <v>train</v>
      </c>
    </row>
    <row r="85" spans="1:17" x14ac:dyDescent="0.25">
      <c r="A85" s="6">
        <v>44531</v>
      </c>
      <c r="B85">
        <f t="shared" si="5"/>
        <v>2021</v>
      </c>
      <c r="C85">
        <f t="shared" si="6"/>
        <v>12</v>
      </c>
      <c r="D85" s="7">
        <v>89506</v>
      </c>
      <c r="E85">
        <v>201.4</v>
      </c>
      <c r="F85">
        <v>9</v>
      </c>
      <c r="G85">
        <v>18</v>
      </c>
      <c r="H85">
        <v>23</v>
      </c>
      <c r="I85">
        <f t="shared" si="7"/>
        <v>1</v>
      </c>
      <c r="J85" t="str">
        <f t="shared" si="8"/>
        <v>COVID-19</v>
      </c>
      <c r="Q85" t="str">
        <f t="shared" si="9"/>
        <v>train</v>
      </c>
    </row>
    <row r="86" spans="1:17" x14ac:dyDescent="0.25">
      <c r="A86" s="6">
        <v>44562</v>
      </c>
      <c r="B86">
        <f t="shared" si="5"/>
        <v>2022</v>
      </c>
      <c r="C86">
        <f t="shared" si="6"/>
        <v>1</v>
      </c>
      <c r="D86" s="7">
        <v>82327</v>
      </c>
      <c r="E86">
        <v>201.46</v>
      </c>
      <c r="F86">
        <v>13</v>
      </c>
      <c r="G86">
        <v>23</v>
      </c>
      <c r="H86">
        <v>29</v>
      </c>
      <c r="I86">
        <f t="shared" si="7"/>
        <v>1</v>
      </c>
      <c r="J86" t="str">
        <f t="shared" si="8"/>
        <v>Economic Crisis</v>
      </c>
      <c r="Q86" t="str">
        <f t="shared" si="9"/>
        <v>test</v>
      </c>
    </row>
    <row r="87" spans="1:17" x14ac:dyDescent="0.25">
      <c r="A87" s="6">
        <v>44593</v>
      </c>
      <c r="B87">
        <f t="shared" si="5"/>
        <v>2022</v>
      </c>
      <c r="C87">
        <f t="shared" si="6"/>
        <v>2</v>
      </c>
      <c r="D87" s="7">
        <v>96507</v>
      </c>
      <c r="E87">
        <v>201.74</v>
      </c>
      <c r="F87">
        <v>15</v>
      </c>
      <c r="G87">
        <v>22</v>
      </c>
      <c r="H87">
        <v>31</v>
      </c>
      <c r="I87">
        <f t="shared" si="7"/>
        <v>1</v>
      </c>
      <c r="J87" t="str">
        <f t="shared" si="8"/>
        <v>Economic Crisis</v>
      </c>
      <c r="Q87" t="str">
        <f t="shared" si="9"/>
        <v>test</v>
      </c>
    </row>
    <row r="88" spans="1:17" x14ac:dyDescent="0.25">
      <c r="A88" s="6">
        <v>44621</v>
      </c>
      <c r="B88">
        <f t="shared" si="5"/>
        <v>2022</v>
      </c>
      <c r="C88">
        <f t="shared" si="6"/>
        <v>3</v>
      </c>
      <c r="D88" s="7">
        <v>106500</v>
      </c>
      <c r="E88">
        <v>255.81</v>
      </c>
      <c r="F88">
        <v>16</v>
      </c>
      <c r="G88">
        <v>20</v>
      </c>
      <c r="H88">
        <v>36</v>
      </c>
      <c r="I88">
        <f t="shared" si="7"/>
        <v>1</v>
      </c>
      <c r="J88" t="str">
        <f t="shared" si="8"/>
        <v>Economic Crisis</v>
      </c>
      <c r="Q88" t="str">
        <f t="shared" si="9"/>
        <v>test</v>
      </c>
    </row>
    <row r="89" spans="1:17" x14ac:dyDescent="0.25">
      <c r="A89" s="6">
        <v>44652</v>
      </c>
      <c r="B89">
        <f t="shared" si="5"/>
        <v>2022</v>
      </c>
      <c r="C89">
        <f t="shared" si="6"/>
        <v>4</v>
      </c>
      <c r="D89" s="7">
        <v>62980</v>
      </c>
      <c r="E89">
        <v>319.44</v>
      </c>
      <c r="F89">
        <v>12</v>
      </c>
      <c r="G89">
        <v>15</v>
      </c>
      <c r="H89">
        <v>30</v>
      </c>
      <c r="I89">
        <f t="shared" si="7"/>
        <v>1</v>
      </c>
      <c r="J89" t="str">
        <f t="shared" si="8"/>
        <v>Economic Crisis</v>
      </c>
      <c r="Q89" t="str">
        <f t="shared" si="9"/>
        <v>test</v>
      </c>
    </row>
    <row r="90" spans="1:17" x14ac:dyDescent="0.25">
      <c r="A90" s="6">
        <v>44682</v>
      </c>
      <c r="B90">
        <f t="shared" si="5"/>
        <v>2022</v>
      </c>
      <c r="C90">
        <f t="shared" si="6"/>
        <v>5</v>
      </c>
      <c r="D90" s="7">
        <v>30207</v>
      </c>
      <c r="E90">
        <v>358.94</v>
      </c>
      <c r="F90">
        <v>11</v>
      </c>
      <c r="G90">
        <v>13</v>
      </c>
      <c r="H90">
        <v>30</v>
      </c>
      <c r="I90">
        <f t="shared" si="7"/>
        <v>1</v>
      </c>
      <c r="J90" t="str">
        <f t="shared" si="8"/>
        <v>Economic Crisis</v>
      </c>
      <c r="Q90" t="str">
        <f t="shared" si="9"/>
        <v>test</v>
      </c>
    </row>
    <row r="91" spans="1:17" x14ac:dyDescent="0.25">
      <c r="A91" s="6">
        <v>44713</v>
      </c>
      <c r="B91">
        <f t="shared" si="5"/>
        <v>2022</v>
      </c>
      <c r="C91">
        <f t="shared" si="6"/>
        <v>6</v>
      </c>
      <c r="D91" s="7">
        <v>32856</v>
      </c>
      <c r="E91">
        <v>360.24</v>
      </c>
      <c r="F91">
        <v>10</v>
      </c>
      <c r="G91">
        <v>12</v>
      </c>
      <c r="H91">
        <v>32</v>
      </c>
      <c r="I91">
        <f t="shared" si="7"/>
        <v>1</v>
      </c>
      <c r="J91" t="str">
        <f t="shared" si="8"/>
        <v>Economic Crisis</v>
      </c>
      <c r="Q91" t="str">
        <f t="shared" si="9"/>
        <v>test</v>
      </c>
    </row>
    <row r="92" spans="1:17" x14ac:dyDescent="0.25">
      <c r="A92" s="6">
        <v>44743</v>
      </c>
      <c r="B92">
        <f t="shared" si="5"/>
        <v>2022</v>
      </c>
      <c r="C92">
        <f t="shared" si="6"/>
        <v>7</v>
      </c>
      <c r="D92" s="7">
        <v>47293</v>
      </c>
      <c r="E92">
        <v>360.87</v>
      </c>
      <c r="F92">
        <v>11</v>
      </c>
      <c r="G92">
        <v>12</v>
      </c>
      <c r="H92">
        <v>29</v>
      </c>
      <c r="I92">
        <f t="shared" si="7"/>
        <v>1</v>
      </c>
      <c r="J92" t="str">
        <f t="shared" si="8"/>
        <v>Economic Crisis</v>
      </c>
      <c r="Q92" t="str">
        <f t="shared" si="9"/>
        <v>test</v>
      </c>
    </row>
    <row r="93" spans="1:17" x14ac:dyDescent="0.25">
      <c r="A93" s="6">
        <v>44774</v>
      </c>
      <c r="B93">
        <f t="shared" si="5"/>
        <v>2022</v>
      </c>
      <c r="C93">
        <f t="shared" si="6"/>
        <v>8</v>
      </c>
      <c r="D93" s="7">
        <v>37760</v>
      </c>
      <c r="E93">
        <v>361</v>
      </c>
      <c r="F93">
        <v>9</v>
      </c>
      <c r="G93">
        <v>16</v>
      </c>
      <c r="H93">
        <v>30</v>
      </c>
      <c r="I93">
        <f t="shared" si="7"/>
        <v>1</v>
      </c>
      <c r="J93" t="str">
        <f t="shared" si="8"/>
        <v>Economic Crisis</v>
      </c>
      <c r="Q93" t="str">
        <f t="shared" si="9"/>
        <v>test</v>
      </c>
    </row>
    <row r="94" spans="1:17" x14ac:dyDescent="0.25">
      <c r="A94" s="6">
        <v>44805</v>
      </c>
      <c r="B94">
        <f t="shared" si="5"/>
        <v>2022</v>
      </c>
      <c r="C94">
        <f t="shared" si="6"/>
        <v>9</v>
      </c>
      <c r="D94" s="7">
        <v>29802</v>
      </c>
      <c r="E94">
        <v>362.38</v>
      </c>
      <c r="F94">
        <v>9</v>
      </c>
      <c r="G94">
        <v>14</v>
      </c>
      <c r="H94">
        <v>29</v>
      </c>
      <c r="I94">
        <f t="shared" si="7"/>
        <v>1</v>
      </c>
      <c r="J94" t="str">
        <f t="shared" si="8"/>
        <v>Economic Crisis</v>
      </c>
      <c r="Q94" t="str">
        <f t="shared" si="9"/>
        <v>test</v>
      </c>
    </row>
    <row r="95" spans="1:17" x14ac:dyDescent="0.25">
      <c r="A95" s="6">
        <v>44835</v>
      </c>
      <c r="B95">
        <f t="shared" si="5"/>
        <v>2022</v>
      </c>
      <c r="C95">
        <f t="shared" si="6"/>
        <v>10</v>
      </c>
      <c r="D95" s="7">
        <v>42026</v>
      </c>
      <c r="E95">
        <v>363.15</v>
      </c>
      <c r="F95">
        <v>10</v>
      </c>
      <c r="G95">
        <v>14</v>
      </c>
      <c r="H95">
        <v>27</v>
      </c>
      <c r="I95">
        <f t="shared" si="7"/>
        <v>1</v>
      </c>
      <c r="J95" t="str">
        <f t="shared" si="8"/>
        <v>Economic Crisis</v>
      </c>
      <c r="Q95" t="str">
        <f t="shared" si="9"/>
        <v>test</v>
      </c>
    </row>
    <row r="96" spans="1:17" x14ac:dyDescent="0.25">
      <c r="A96" s="6">
        <v>44866</v>
      </c>
      <c r="B96">
        <f t="shared" si="5"/>
        <v>2022</v>
      </c>
      <c r="C96">
        <f t="shared" si="6"/>
        <v>11</v>
      </c>
      <c r="D96" s="7">
        <v>59759</v>
      </c>
      <c r="E96">
        <v>363.39</v>
      </c>
      <c r="F96">
        <v>10</v>
      </c>
      <c r="G96">
        <v>14</v>
      </c>
      <c r="H96">
        <v>28</v>
      </c>
      <c r="I96">
        <f t="shared" si="7"/>
        <v>1</v>
      </c>
      <c r="J96" t="str">
        <f t="shared" si="8"/>
        <v>Economic Crisis</v>
      </c>
      <c r="Q96" t="str">
        <f t="shared" si="9"/>
        <v>test</v>
      </c>
    </row>
    <row r="97" spans="1:17" x14ac:dyDescent="0.25">
      <c r="A97" s="6">
        <v>44896</v>
      </c>
      <c r="B97">
        <f t="shared" si="5"/>
        <v>2022</v>
      </c>
      <c r="C97">
        <f t="shared" si="6"/>
        <v>12</v>
      </c>
      <c r="D97" s="7">
        <v>91961</v>
      </c>
      <c r="E97">
        <v>363.17</v>
      </c>
      <c r="F97">
        <v>11</v>
      </c>
      <c r="G97">
        <v>15</v>
      </c>
      <c r="H97">
        <v>28</v>
      </c>
      <c r="I97">
        <f t="shared" si="7"/>
        <v>1</v>
      </c>
      <c r="J97" t="str">
        <f t="shared" si="8"/>
        <v>Economic Crisis</v>
      </c>
      <c r="Q97" t="str">
        <f t="shared" si="9"/>
        <v>test</v>
      </c>
    </row>
    <row r="98" spans="1:17" x14ac:dyDescent="0.25">
      <c r="A98" s="6">
        <v>44927</v>
      </c>
      <c r="B98">
        <f t="shared" si="5"/>
        <v>2023</v>
      </c>
      <c r="C98">
        <f t="shared" si="6"/>
        <v>1</v>
      </c>
      <c r="D98" s="7">
        <v>102545</v>
      </c>
      <c r="E98">
        <v>362.42</v>
      </c>
      <c r="F98">
        <v>15</v>
      </c>
      <c r="G98">
        <v>17</v>
      </c>
      <c r="H98">
        <v>35</v>
      </c>
      <c r="I98">
        <f t="shared" si="7"/>
        <v>0</v>
      </c>
      <c r="J98" t="str">
        <f t="shared" si="8"/>
        <v>None</v>
      </c>
      <c r="Q98" t="str">
        <f t="shared" si="9"/>
        <v>test</v>
      </c>
    </row>
    <row r="99" spans="1:17" x14ac:dyDescent="0.25">
      <c r="A99" s="6">
        <v>44958</v>
      </c>
      <c r="B99">
        <f t="shared" si="5"/>
        <v>2023</v>
      </c>
      <c r="C99">
        <f t="shared" si="6"/>
        <v>2</v>
      </c>
      <c r="D99" s="7">
        <v>107639</v>
      </c>
      <c r="E99">
        <v>361.98</v>
      </c>
      <c r="F99">
        <v>13</v>
      </c>
      <c r="G99">
        <v>14</v>
      </c>
      <c r="H99">
        <v>31</v>
      </c>
      <c r="I99">
        <f t="shared" si="7"/>
        <v>0</v>
      </c>
      <c r="J99" t="str">
        <f t="shared" si="8"/>
        <v>None</v>
      </c>
      <c r="Q99" t="str">
        <f t="shared" si="9"/>
        <v>test</v>
      </c>
    </row>
    <row r="100" spans="1:17" x14ac:dyDescent="0.25">
      <c r="A100" s="6">
        <v>44986</v>
      </c>
      <c r="B100">
        <f t="shared" si="5"/>
        <v>2023</v>
      </c>
      <c r="C100">
        <f t="shared" si="6"/>
        <v>3</v>
      </c>
      <c r="D100" s="7">
        <v>125495</v>
      </c>
      <c r="E100">
        <v>329.47</v>
      </c>
      <c r="F100">
        <v>13</v>
      </c>
      <c r="G100">
        <v>14</v>
      </c>
      <c r="H100">
        <v>32</v>
      </c>
      <c r="I100">
        <f t="shared" si="7"/>
        <v>0</v>
      </c>
      <c r="J100" t="str">
        <f t="shared" si="8"/>
        <v>None</v>
      </c>
      <c r="Q100" t="str">
        <f t="shared" si="9"/>
        <v>test</v>
      </c>
    </row>
    <row r="101" spans="1:17" x14ac:dyDescent="0.25">
      <c r="A101" s="6">
        <v>45017</v>
      </c>
      <c r="B101">
        <f t="shared" si="5"/>
        <v>2023</v>
      </c>
      <c r="C101">
        <f t="shared" si="6"/>
        <v>4</v>
      </c>
      <c r="D101" s="7">
        <v>105498</v>
      </c>
      <c r="E101">
        <v>321.42</v>
      </c>
      <c r="F101">
        <v>12</v>
      </c>
      <c r="G101">
        <v>15</v>
      </c>
      <c r="H101">
        <v>28</v>
      </c>
      <c r="I101">
        <f t="shared" si="7"/>
        <v>0</v>
      </c>
      <c r="J101" t="str">
        <f t="shared" si="8"/>
        <v>None</v>
      </c>
      <c r="Q101" t="str">
        <f t="shared" si="9"/>
        <v>test</v>
      </c>
    </row>
    <row r="102" spans="1:17" x14ac:dyDescent="0.25">
      <c r="A102" s="6">
        <v>45047</v>
      </c>
      <c r="B102">
        <f t="shared" si="5"/>
        <v>2023</v>
      </c>
      <c r="C102">
        <f t="shared" si="6"/>
        <v>5</v>
      </c>
      <c r="D102" s="7">
        <v>83309</v>
      </c>
      <c r="E102">
        <v>310.16000000000003</v>
      </c>
      <c r="F102">
        <v>12</v>
      </c>
      <c r="G102">
        <v>15</v>
      </c>
      <c r="H102">
        <v>34</v>
      </c>
      <c r="I102">
        <f t="shared" si="7"/>
        <v>0</v>
      </c>
      <c r="J102" t="str">
        <f t="shared" si="8"/>
        <v>None</v>
      </c>
      <c r="Q102" t="str">
        <f t="shared" si="9"/>
        <v>test</v>
      </c>
    </row>
    <row r="103" spans="1:17" x14ac:dyDescent="0.25">
      <c r="A103" s="6">
        <v>45078</v>
      </c>
      <c r="B103">
        <f t="shared" si="5"/>
        <v>2023</v>
      </c>
      <c r="C103">
        <f t="shared" si="6"/>
        <v>6</v>
      </c>
      <c r="D103" s="7">
        <v>100388</v>
      </c>
      <c r="E103">
        <v>301.26</v>
      </c>
      <c r="F103">
        <v>12</v>
      </c>
      <c r="G103">
        <v>16</v>
      </c>
      <c r="H103">
        <v>36</v>
      </c>
      <c r="I103">
        <f t="shared" si="7"/>
        <v>0</v>
      </c>
      <c r="J103" t="str">
        <f t="shared" si="8"/>
        <v>None</v>
      </c>
      <c r="Q103" t="str">
        <f t="shared" si="9"/>
        <v>test</v>
      </c>
    </row>
    <row r="104" spans="1:17" x14ac:dyDescent="0.25">
      <c r="A104" s="6">
        <v>45108</v>
      </c>
      <c r="B104">
        <f t="shared" si="5"/>
        <v>2023</v>
      </c>
      <c r="C104">
        <f t="shared" si="6"/>
        <v>7</v>
      </c>
      <c r="D104" s="7">
        <v>143039</v>
      </c>
      <c r="E104">
        <v>319.29000000000002</v>
      </c>
      <c r="F104">
        <v>14</v>
      </c>
      <c r="G104">
        <v>17</v>
      </c>
      <c r="H104">
        <v>41</v>
      </c>
      <c r="I104">
        <f t="shared" si="7"/>
        <v>0</v>
      </c>
      <c r="J104" t="str">
        <f t="shared" si="8"/>
        <v>None</v>
      </c>
      <c r="Q104" t="str">
        <f t="shared" si="9"/>
        <v>test</v>
      </c>
    </row>
    <row r="105" spans="1:17" x14ac:dyDescent="0.25">
      <c r="A105" s="6">
        <v>45139</v>
      </c>
      <c r="B105">
        <f t="shared" si="5"/>
        <v>2023</v>
      </c>
      <c r="C105">
        <f t="shared" si="6"/>
        <v>8</v>
      </c>
      <c r="D105" s="7">
        <v>136405</v>
      </c>
      <c r="E105">
        <v>321.58</v>
      </c>
      <c r="F105">
        <v>12</v>
      </c>
      <c r="G105">
        <v>17</v>
      </c>
      <c r="H105">
        <v>40</v>
      </c>
      <c r="I105">
        <f t="shared" si="7"/>
        <v>0</v>
      </c>
      <c r="J105" t="str">
        <f t="shared" si="8"/>
        <v>None</v>
      </c>
      <c r="Q105" t="str">
        <f t="shared" si="9"/>
        <v>test</v>
      </c>
    </row>
    <row r="106" spans="1:17" x14ac:dyDescent="0.25">
      <c r="A106" s="6">
        <v>45170</v>
      </c>
      <c r="B106">
        <f t="shared" si="5"/>
        <v>2023</v>
      </c>
      <c r="C106">
        <f t="shared" si="6"/>
        <v>9</v>
      </c>
      <c r="D106" s="7">
        <v>111938</v>
      </c>
      <c r="E106">
        <v>322.77</v>
      </c>
      <c r="F106">
        <v>14</v>
      </c>
      <c r="G106">
        <v>17</v>
      </c>
      <c r="H106">
        <v>43</v>
      </c>
      <c r="I106">
        <f t="shared" si="7"/>
        <v>0</v>
      </c>
      <c r="J106" t="str">
        <f t="shared" si="8"/>
        <v>None</v>
      </c>
      <c r="Q106" t="str">
        <f t="shared" si="9"/>
        <v>test</v>
      </c>
    </row>
    <row r="107" spans="1:17" x14ac:dyDescent="0.25">
      <c r="A107" s="6">
        <v>45200</v>
      </c>
      <c r="B107">
        <f t="shared" si="5"/>
        <v>2023</v>
      </c>
      <c r="C107">
        <f t="shared" si="6"/>
        <v>10</v>
      </c>
      <c r="D107" s="7">
        <v>109199</v>
      </c>
      <c r="E107">
        <v>324.73</v>
      </c>
      <c r="F107">
        <v>13</v>
      </c>
      <c r="G107">
        <v>15</v>
      </c>
      <c r="H107">
        <v>48</v>
      </c>
      <c r="I107">
        <f t="shared" si="7"/>
        <v>0</v>
      </c>
      <c r="J107" t="str">
        <f t="shared" si="8"/>
        <v>None</v>
      </c>
      <c r="Q107" t="str">
        <f t="shared" si="9"/>
        <v>test</v>
      </c>
    </row>
    <row r="108" spans="1:17" x14ac:dyDescent="0.25">
      <c r="A108" s="6">
        <v>45231</v>
      </c>
      <c r="B108">
        <f t="shared" si="5"/>
        <v>2023</v>
      </c>
      <c r="C108">
        <f t="shared" si="6"/>
        <v>11</v>
      </c>
      <c r="D108" s="7">
        <v>151496</v>
      </c>
      <c r="E108">
        <v>328.25</v>
      </c>
      <c r="F108">
        <v>14</v>
      </c>
      <c r="G108">
        <v>17</v>
      </c>
      <c r="H108">
        <v>44</v>
      </c>
      <c r="I108">
        <f t="shared" si="7"/>
        <v>0</v>
      </c>
      <c r="J108" t="str">
        <f t="shared" si="8"/>
        <v>None</v>
      </c>
      <c r="Q108" t="str">
        <f t="shared" si="9"/>
        <v>test</v>
      </c>
    </row>
    <row r="109" spans="1:17" x14ac:dyDescent="0.25">
      <c r="A109" s="6">
        <v>45261</v>
      </c>
      <c r="B109">
        <f t="shared" si="5"/>
        <v>2023</v>
      </c>
      <c r="C109">
        <f t="shared" si="6"/>
        <v>12</v>
      </c>
      <c r="D109" s="7">
        <v>210352</v>
      </c>
      <c r="E109">
        <v>326.74</v>
      </c>
      <c r="F109">
        <v>14</v>
      </c>
      <c r="G109">
        <v>18</v>
      </c>
      <c r="H109">
        <v>41</v>
      </c>
      <c r="I109">
        <f t="shared" si="7"/>
        <v>0</v>
      </c>
      <c r="J109" t="str">
        <f t="shared" si="8"/>
        <v>None</v>
      </c>
      <c r="Q109" t="str">
        <f t="shared" si="9"/>
        <v>test</v>
      </c>
    </row>
    <row r="110" spans="1:17" x14ac:dyDescent="0.25">
      <c r="A110" s="6">
        <v>45292</v>
      </c>
      <c r="B110">
        <f t="shared" si="5"/>
        <v>2024</v>
      </c>
      <c r="C110">
        <f t="shared" si="6"/>
        <v>1</v>
      </c>
      <c r="D110" s="7">
        <v>208253</v>
      </c>
      <c r="E110">
        <v>321.17</v>
      </c>
      <c r="F110">
        <v>17</v>
      </c>
      <c r="G110">
        <v>19</v>
      </c>
      <c r="H110">
        <v>44</v>
      </c>
      <c r="I110">
        <f t="shared" si="7"/>
        <v>0</v>
      </c>
      <c r="J110" t="str">
        <f t="shared" si="8"/>
        <v>None</v>
      </c>
      <c r="Q110" t="str">
        <f t="shared" si="9"/>
        <v>test</v>
      </c>
    </row>
    <row r="111" spans="1:17" x14ac:dyDescent="0.25">
      <c r="A111" s="6">
        <v>45323</v>
      </c>
      <c r="B111">
        <f t="shared" si="5"/>
        <v>2024</v>
      </c>
      <c r="C111">
        <f t="shared" si="6"/>
        <v>2</v>
      </c>
      <c r="D111" s="7">
        <v>218350</v>
      </c>
      <c r="E111">
        <v>312.58</v>
      </c>
      <c r="F111">
        <v>15</v>
      </c>
      <c r="G111">
        <v>17</v>
      </c>
      <c r="H111">
        <v>41</v>
      </c>
      <c r="I111">
        <f t="shared" si="7"/>
        <v>0</v>
      </c>
      <c r="J111" t="str">
        <f t="shared" si="8"/>
        <v>None</v>
      </c>
      <c r="Q111" t="str">
        <f t="shared" si="9"/>
        <v>test</v>
      </c>
    </row>
    <row r="112" spans="1:17" x14ac:dyDescent="0.25">
      <c r="A112" s="6">
        <v>45352</v>
      </c>
      <c r="B112">
        <f t="shared" si="5"/>
        <v>2024</v>
      </c>
      <c r="C112">
        <f t="shared" si="6"/>
        <v>3</v>
      </c>
      <c r="D112" s="7">
        <v>209181</v>
      </c>
      <c r="E112">
        <v>305.66000000000003</v>
      </c>
      <c r="F112">
        <v>14</v>
      </c>
      <c r="G112">
        <v>17</v>
      </c>
      <c r="H112">
        <v>37</v>
      </c>
      <c r="I112">
        <f t="shared" si="7"/>
        <v>0</v>
      </c>
      <c r="J112" t="str">
        <f t="shared" si="8"/>
        <v>None</v>
      </c>
      <c r="Q112" t="str">
        <f t="shared" si="9"/>
        <v>test</v>
      </c>
    </row>
    <row r="113" spans="1:17" x14ac:dyDescent="0.25">
      <c r="A113" s="6">
        <v>45383</v>
      </c>
      <c r="B113">
        <f t="shared" si="5"/>
        <v>2024</v>
      </c>
      <c r="C113">
        <f t="shared" si="6"/>
        <v>4</v>
      </c>
      <c r="D113" s="7">
        <v>148867</v>
      </c>
      <c r="E113">
        <v>299.42</v>
      </c>
      <c r="F113">
        <v>13</v>
      </c>
      <c r="G113">
        <v>17</v>
      </c>
      <c r="H113">
        <v>43</v>
      </c>
      <c r="I113">
        <f t="shared" si="7"/>
        <v>0</v>
      </c>
      <c r="J113" t="str">
        <f t="shared" si="8"/>
        <v>None</v>
      </c>
      <c r="Q113" t="str">
        <f t="shared" si="9"/>
        <v>test</v>
      </c>
    </row>
    <row r="114" spans="1:17" x14ac:dyDescent="0.25">
      <c r="A114" s="6">
        <v>45413</v>
      </c>
      <c r="B114">
        <f t="shared" si="5"/>
        <v>2024</v>
      </c>
      <c r="C114">
        <f t="shared" si="6"/>
        <v>5</v>
      </c>
      <c r="D114" s="7">
        <v>112128</v>
      </c>
      <c r="E114">
        <v>299.69</v>
      </c>
      <c r="F114">
        <v>12</v>
      </c>
      <c r="G114">
        <v>16</v>
      </c>
      <c r="H114">
        <v>45</v>
      </c>
      <c r="I114">
        <f t="shared" si="7"/>
        <v>0</v>
      </c>
      <c r="J114" t="str">
        <f t="shared" si="8"/>
        <v>None</v>
      </c>
      <c r="Q114" t="str">
        <f t="shared" si="9"/>
        <v>test</v>
      </c>
    </row>
    <row r="115" spans="1:17" x14ac:dyDescent="0.25">
      <c r="A115" s="6">
        <v>45444</v>
      </c>
      <c r="B115">
        <f t="shared" si="5"/>
        <v>2024</v>
      </c>
      <c r="C115">
        <f t="shared" si="6"/>
        <v>6</v>
      </c>
      <c r="D115" s="7">
        <v>113470</v>
      </c>
      <c r="E115">
        <v>303.81</v>
      </c>
      <c r="F115">
        <v>13</v>
      </c>
      <c r="G115">
        <v>16</v>
      </c>
      <c r="H115">
        <v>45</v>
      </c>
      <c r="I115">
        <f t="shared" si="7"/>
        <v>0</v>
      </c>
      <c r="J115" t="str">
        <f t="shared" si="8"/>
        <v>None</v>
      </c>
      <c r="Q115" t="str">
        <f t="shared" si="9"/>
        <v>test</v>
      </c>
    </row>
    <row r="116" spans="1:17" x14ac:dyDescent="0.25">
      <c r="A116" s="6">
        <v>45474</v>
      </c>
      <c r="B116">
        <f t="shared" si="5"/>
        <v>2024</v>
      </c>
      <c r="C116">
        <f t="shared" si="6"/>
        <v>7</v>
      </c>
      <c r="D116" s="7">
        <v>187810</v>
      </c>
      <c r="E116">
        <v>303.76</v>
      </c>
      <c r="F116">
        <v>14</v>
      </c>
      <c r="G116">
        <v>17</v>
      </c>
      <c r="H116">
        <v>45</v>
      </c>
      <c r="I116">
        <f t="shared" si="7"/>
        <v>0</v>
      </c>
      <c r="J116" t="str">
        <f t="shared" si="8"/>
        <v>None</v>
      </c>
      <c r="Q116" t="str">
        <f t="shared" si="9"/>
        <v>test</v>
      </c>
    </row>
    <row r="117" spans="1:17" x14ac:dyDescent="0.25">
      <c r="A117" s="6">
        <v>45505</v>
      </c>
      <c r="B117">
        <f t="shared" si="5"/>
        <v>2024</v>
      </c>
      <c r="C117">
        <f t="shared" si="6"/>
        <v>8</v>
      </c>
      <c r="D117" s="7">
        <v>164609</v>
      </c>
      <c r="E117">
        <v>300.67</v>
      </c>
      <c r="F117">
        <v>16</v>
      </c>
      <c r="G117">
        <v>19</v>
      </c>
      <c r="H117">
        <v>49</v>
      </c>
      <c r="I117">
        <f t="shared" si="7"/>
        <v>0</v>
      </c>
      <c r="J117" t="str">
        <f t="shared" si="8"/>
        <v>None</v>
      </c>
      <c r="Q117" t="str">
        <f t="shared" si="9"/>
        <v>test</v>
      </c>
    </row>
    <row r="118" spans="1:17" x14ac:dyDescent="0.25">
      <c r="A118" s="6">
        <v>45536</v>
      </c>
      <c r="B118">
        <f t="shared" si="5"/>
        <v>2024</v>
      </c>
      <c r="C118">
        <f t="shared" si="6"/>
        <v>9</v>
      </c>
      <c r="D118" s="7">
        <v>122140</v>
      </c>
      <c r="E118">
        <v>301.14999999999998</v>
      </c>
      <c r="F118">
        <v>14</v>
      </c>
      <c r="G118">
        <v>18</v>
      </c>
      <c r="H118">
        <v>39</v>
      </c>
      <c r="I118">
        <f t="shared" si="7"/>
        <v>0</v>
      </c>
      <c r="J118" t="str">
        <f t="shared" si="8"/>
        <v>None</v>
      </c>
      <c r="Q118" t="str">
        <f t="shared" si="9"/>
        <v>test</v>
      </c>
    </row>
    <row r="119" spans="1:17" x14ac:dyDescent="0.25">
      <c r="A119" s="6">
        <v>45566</v>
      </c>
      <c r="B119">
        <f t="shared" si="5"/>
        <v>2024</v>
      </c>
      <c r="C119">
        <f t="shared" si="6"/>
        <v>10</v>
      </c>
      <c r="D119" s="7">
        <v>135907</v>
      </c>
      <c r="E119">
        <v>293.79000000000002</v>
      </c>
      <c r="F119">
        <v>15</v>
      </c>
      <c r="G119">
        <v>17</v>
      </c>
      <c r="H119">
        <v>38</v>
      </c>
      <c r="I119">
        <f t="shared" si="7"/>
        <v>0</v>
      </c>
      <c r="J119" t="str">
        <f t="shared" si="8"/>
        <v>None</v>
      </c>
      <c r="Q119" t="str">
        <f t="shared" si="9"/>
        <v>test</v>
      </c>
    </row>
    <row r="120" spans="1:17" x14ac:dyDescent="0.25">
      <c r="A120" s="6">
        <v>45597</v>
      </c>
      <c r="B120">
        <f t="shared" si="5"/>
        <v>2024</v>
      </c>
      <c r="C120">
        <f t="shared" si="6"/>
        <v>11</v>
      </c>
      <c r="D120" s="7">
        <v>184158</v>
      </c>
      <c r="E120">
        <v>292.01</v>
      </c>
      <c r="F120">
        <v>15</v>
      </c>
      <c r="G120">
        <v>17</v>
      </c>
      <c r="H120">
        <v>40</v>
      </c>
      <c r="I120">
        <f t="shared" si="7"/>
        <v>0</v>
      </c>
      <c r="J120" t="str">
        <f t="shared" si="8"/>
        <v>None</v>
      </c>
      <c r="Q120" t="str">
        <f t="shared" si="9"/>
        <v>test</v>
      </c>
    </row>
    <row r="121" spans="1:17" x14ac:dyDescent="0.25">
      <c r="A121" s="6">
        <v>45627</v>
      </c>
      <c r="B121">
        <f t="shared" si="5"/>
        <v>2024</v>
      </c>
      <c r="C121">
        <f t="shared" si="6"/>
        <v>12</v>
      </c>
      <c r="D121" s="7">
        <v>248592</v>
      </c>
      <c r="E121">
        <v>291.68</v>
      </c>
      <c r="F121">
        <v>17</v>
      </c>
      <c r="G121">
        <v>19</v>
      </c>
      <c r="H121">
        <v>44</v>
      </c>
      <c r="I121">
        <f t="shared" si="7"/>
        <v>0</v>
      </c>
      <c r="J121" t="str">
        <f t="shared" si="8"/>
        <v>None</v>
      </c>
      <c r="Q121" t="str">
        <f t="shared" si="9"/>
        <v>test</v>
      </c>
    </row>
    <row r="122" spans="1:17" x14ac:dyDescent="0.25">
      <c r="A122" s="6">
        <v>45658</v>
      </c>
      <c r="B122">
        <f t="shared" si="5"/>
        <v>2025</v>
      </c>
      <c r="C122">
        <f t="shared" si="6"/>
        <v>1</v>
      </c>
      <c r="D122" s="7">
        <v>252761</v>
      </c>
      <c r="E122">
        <v>296.18</v>
      </c>
      <c r="F122">
        <v>20</v>
      </c>
      <c r="G122">
        <v>20</v>
      </c>
      <c r="H122">
        <v>45</v>
      </c>
      <c r="I122">
        <f t="shared" si="7"/>
        <v>0</v>
      </c>
      <c r="J122" t="str">
        <f t="shared" si="8"/>
        <v>None</v>
      </c>
      <c r="Q122" t="str">
        <f t="shared" si="9"/>
        <v>test</v>
      </c>
    </row>
    <row r="123" spans="1:17" x14ac:dyDescent="0.25">
      <c r="A123" s="6">
        <v>45689</v>
      </c>
      <c r="B123">
        <f t="shared" si="5"/>
        <v>2025</v>
      </c>
      <c r="C123">
        <f t="shared" si="6"/>
        <v>2</v>
      </c>
      <c r="D123" s="7">
        <v>240217</v>
      </c>
      <c r="E123">
        <v>296.8</v>
      </c>
      <c r="F123">
        <v>18</v>
      </c>
      <c r="G123">
        <v>18</v>
      </c>
      <c r="H123">
        <v>44</v>
      </c>
      <c r="I123">
        <f t="shared" si="7"/>
        <v>0</v>
      </c>
      <c r="J123" t="str">
        <f t="shared" si="8"/>
        <v>None</v>
      </c>
      <c r="Q123" t="str">
        <f t="shared" si="9"/>
        <v>test</v>
      </c>
    </row>
    <row r="124" spans="1:17" x14ac:dyDescent="0.25">
      <c r="A124" s="6">
        <v>45717</v>
      </c>
      <c r="B124">
        <f t="shared" si="5"/>
        <v>2025</v>
      </c>
      <c r="C124">
        <f t="shared" si="6"/>
        <v>3</v>
      </c>
      <c r="D124" s="7">
        <v>229298</v>
      </c>
      <c r="E124">
        <v>295.91000000000003</v>
      </c>
      <c r="F124">
        <v>17</v>
      </c>
      <c r="G124">
        <v>18</v>
      </c>
      <c r="H124">
        <v>38</v>
      </c>
      <c r="I124">
        <f t="shared" si="7"/>
        <v>0</v>
      </c>
      <c r="J124" t="str">
        <f t="shared" si="8"/>
        <v>None</v>
      </c>
      <c r="Q124" t="str">
        <f t="shared" si="9"/>
        <v>test</v>
      </c>
    </row>
    <row r="125" spans="1:17" x14ac:dyDescent="0.25">
      <c r="A125" s="6">
        <v>45748</v>
      </c>
      <c r="B125">
        <f t="shared" si="5"/>
        <v>2025</v>
      </c>
      <c r="C125">
        <f t="shared" si="6"/>
        <v>4</v>
      </c>
      <c r="D125" s="7">
        <v>174608</v>
      </c>
      <c r="E125">
        <v>298.52999999999997</v>
      </c>
      <c r="F125">
        <v>15</v>
      </c>
      <c r="G125">
        <v>18</v>
      </c>
      <c r="H125">
        <v>36</v>
      </c>
      <c r="I125">
        <f t="shared" si="7"/>
        <v>0</v>
      </c>
      <c r="J125" t="str">
        <f t="shared" si="8"/>
        <v>None</v>
      </c>
      <c r="Q125" t="str">
        <f t="shared" si="9"/>
        <v>test</v>
      </c>
    </row>
    <row r="126" spans="1:17" x14ac:dyDescent="0.25">
      <c r="A126" s="6">
        <v>45778</v>
      </c>
      <c r="B126">
        <f t="shared" si="5"/>
        <v>2025</v>
      </c>
      <c r="C126">
        <f t="shared" si="6"/>
        <v>5</v>
      </c>
      <c r="D126" s="7">
        <v>132919</v>
      </c>
      <c r="E126">
        <v>299.41000000000003</v>
      </c>
      <c r="F126">
        <v>16</v>
      </c>
      <c r="G126">
        <v>17</v>
      </c>
      <c r="H126">
        <v>37</v>
      </c>
      <c r="I126">
        <f t="shared" si="7"/>
        <v>0</v>
      </c>
      <c r="J126" t="str">
        <f t="shared" si="8"/>
        <v>None</v>
      </c>
      <c r="Q126" t="str">
        <f t="shared" si="9"/>
        <v>test</v>
      </c>
    </row>
    <row r="127" spans="1:17" x14ac:dyDescent="0.25">
      <c r="A127" s="6">
        <v>45809</v>
      </c>
      <c r="B127">
        <f t="shared" si="5"/>
        <v>2025</v>
      </c>
      <c r="C127">
        <f t="shared" si="6"/>
        <v>6</v>
      </c>
      <c r="D127" s="7">
        <v>138241</v>
      </c>
      <c r="E127">
        <v>299.89999999999998</v>
      </c>
      <c r="F127">
        <v>17</v>
      </c>
      <c r="G127">
        <v>17</v>
      </c>
      <c r="H127">
        <v>37</v>
      </c>
      <c r="I127">
        <f t="shared" si="7"/>
        <v>0</v>
      </c>
      <c r="J127" t="str">
        <f t="shared" si="8"/>
        <v>None</v>
      </c>
      <c r="Q127" t="str">
        <f t="shared" si="9"/>
        <v>test</v>
      </c>
    </row>
    <row r="128" spans="1:17" x14ac:dyDescent="0.25">
      <c r="A128" s="6">
        <v>45839</v>
      </c>
      <c r="B128">
        <f t="shared" si="5"/>
        <v>2025</v>
      </c>
      <c r="C128">
        <f t="shared" si="6"/>
        <v>7</v>
      </c>
      <c r="D128" s="7">
        <v>200244</v>
      </c>
      <c r="E128">
        <v>301.12</v>
      </c>
      <c r="F128">
        <v>21</v>
      </c>
      <c r="G128">
        <v>22</v>
      </c>
      <c r="H128">
        <v>57</v>
      </c>
      <c r="I128">
        <f t="shared" si="7"/>
        <v>0</v>
      </c>
      <c r="J128" t="str">
        <f t="shared" si="8"/>
        <v>None</v>
      </c>
      <c r="Q128" t="str">
        <f t="shared" si="9"/>
        <v>test</v>
      </c>
    </row>
    <row r="129" spans="1:17" x14ac:dyDescent="0.25">
      <c r="A129" s="6">
        <v>45870</v>
      </c>
      <c r="B129">
        <f t="shared" si="5"/>
        <v>2025</v>
      </c>
      <c r="C129">
        <f t="shared" si="6"/>
        <v>8</v>
      </c>
      <c r="D129" s="7">
        <v>198235</v>
      </c>
      <c r="E129">
        <v>301.49</v>
      </c>
      <c r="F129">
        <v>70</v>
      </c>
      <c r="G129">
        <v>45</v>
      </c>
      <c r="H129">
        <v>95</v>
      </c>
      <c r="I129">
        <f t="shared" si="7"/>
        <v>0</v>
      </c>
      <c r="J129" t="str">
        <f t="shared" si="8"/>
        <v>None</v>
      </c>
      <c r="Q129" t="str">
        <f t="shared" si="9"/>
        <v>test</v>
      </c>
    </row>
    <row r="130" spans="1:17" x14ac:dyDescent="0.25">
      <c r="A130" s="6">
        <v>45901</v>
      </c>
      <c r="B130">
        <f t="shared" si="5"/>
        <v>2025</v>
      </c>
      <c r="C130">
        <f t="shared" si="6"/>
        <v>9</v>
      </c>
      <c r="D130" s="7">
        <v>158971</v>
      </c>
      <c r="E130">
        <v>302.2</v>
      </c>
      <c r="F130">
        <v>80</v>
      </c>
      <c r="G130">
        <v>44</v>
      </c>
      <c r="H130">
        <v>100</v>
      </c>
      <c r="I130">
        <f t="shared" si="7"/>
        <v>0</v>
      </c>
      <c r="J130" t="str">
        <f t="shared" si="8"/>
        <v>None</v>
      </c>
      <c r="Q130" t="str">
        <f t="shared" si="9"/>
        <v>test</v>
      </c>
    </row>
    <row r="131" spans="1:17" x14ac:dyDescent="0.25">
      <c r="A131" s="6">
        <v>45931</v>
      </c>
      <c r="B131">
        <f t="shared" ref="B131:B133" si="10">YEAR(A131)</f>
        <v>2025</v>
      </c>
      <c r="C131">
        <f t="shared" ref="C131:C133" si="11">MONTH(A131)</f>
        <v>10</v>
      </c>
      <c r="D131" s="7">
        <v>165193</v>
      </c>
      <c r="E131">
        <v>303.13</v>
      </c>
      <c r="F131">
        <v>63</v>
      </c>
      <c r="G131">
        <v>34</v>
      </c>
      <c r="H131">
        <v>86</v>
      </c>
      <c r="I131">
        <f t="shared" ref="I131:I133" si="12">IF(J131="None",0,1)</f>
        <v>0</v>
      </c>
      <c r="J131" t="str">
        <f t="shared" ref="J131:J133" si="13">IF(AND(YEAR(A131)=2019,MONTH(A131)=4),"Easter Attack",
 IF(OR(AND(YEAR(A131)=2020,MONTH(A131)&gt;=3),AND(YEAR(A131)=2021)),"COVID-19",
 IF(YEAR(A131)=2022,"Economic Crisis","None")))</f>
        <v>None</v>
      </c>
      <c r="Q131" t="str">
        <f t="shared" ref="Q131:Q133" si="14">IF(YEAR(A131)&lt;=2021,"train","test")</f>
        <v>test</v>
      </c>
    </row>
    <row r="132" spans="1:17" x14ac:dyDescent="0.25">
      <c r="A132" s="6">
        <v>45962</v>
      </c>
      <c r="B132">
        <f t="shared" si="10"/>
        <v>2025</v>
      </c>
      <c r="C132">
        <f t="shared" si="11"/>
        <v>11</v>
      </c>
      <c r="D132" s="7">
        <v>212906</v>
      </c>
      <c r="E132">
        <v>306.35000000000002</v>
      </c>
      <c r="F132">
        <v>67</v>
      </c>
      <c r="G132">
        <v>37</v>
      </c>
      <c r="H132">
        <v>93</v>
      </c>
      <c r="I132">
        <f t="shared" si="12"/>
        <v>0</v>
      </c>
      <c r="J132" t="str">
        <f t="shared" si="13"/>
        <v>None</v>
      </c>
      <c r="Q132" t="str">
        <f t="shared" si="14"/>
        <v>test</v>
      </c>
    </row>
    <row r="133" spans="1:17" x14ac:dyDescent="0.25">
      <c r="A133" s="6">
        <v>45992</v>
      </c>
      <c r="B133">
        <f t="shared" si="10"/>
        <v>2025</v>
      </c>
      <c r="C133">
        <f t="shared" si="11"/>
        <v>12</v>
      </c>
      <c r="D133" s="7">
        <v>258928</v>
      </c>
      <c r="E133">
        <v>309.2</v>
      </c>
      <c r="F133">
        <v>63</v>
      </c>
      <c r="G133">
        <v>40</v>
      </c>
      <c r="H133">
        <v>89</v>
      </c>
      <c r="I133">
        <f t="shared" si="12"/>
        <v>0</v>
      </c>
      <c r="J133" t="str">
        <f t="shared" si="13"/>
        <v>None</v>
      </c>
      <c r="Q133" t="str">
        <f t="shared" si="14"/>
        <v>test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A83D-CE9A-4231-B436-D8319B8AE552}">
  <dimension ref="A1:D18"/>
  <sheetViews>
    <sheetView workbookViewId="0">
      <selection activeCell="C26" sqref="C26"/>
    </sheetView>
  </sheetViews>
  <sheetFormatPr defaultColWidth="8.7109375" defaultRowHeight="15" x14ac:dyDescent="0.25"/>
  <cols>
    <col min="1" max="1" width="24" customWidth="1"/>
    <col min="2" max="2" width="16" customWidth="1"/>
    <col min="3" max="3" width="65" customWidth="1"/>
    <col min="4" max="4" width="32" customWidth="1"/>
  </cols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s="2" t="s">
        <v>0</v>
      </c>
      <c r="B2" s="2" t="s">
        <v>21</v>
      </c>
      <c r="C2" s="2" t="s">
        <v>22</v>
      </c>
      <c r="D2" s="2" t="s">
        <v>23</v>
      </c>
    </row>
    <row r="3" spans="1:4" x14ac:dyDescent="0.25">
      <c r="A3" s="2" t="s">
        <v>1</v>
      </c>
      <c r="B3" s="2" t="s">
        <v>24</v>
      </c>
      <c r="C3" s="2" t="s">
        <v>25</v>
      </c>
      <c r="D3" s="2" t="s">
        <v>26</v>
      </c>
    </row>
    <row r="4" spans="1:4" x14ac:dyDescent="0.25">
      <c r="A4" s="2" t="s">
        <v>2</v>
      </c>
      <c r="B4" s="2" t="s">
        <v>27</v>
      </c>
      <c r="C4" s="2" t="s">
        <v>28</v>
      </c>
      <c r="D4" s="2" t="s">
        <v>26</v>
      </c>
    </row>
    <row r="5" spans="1:4" ht="25.5" x14ac:dyDescent="0.25">
      <c r="A5" s="2" t="s">
        <v>3</v>
      </c>
      <c r="B5" s="2" t="s">
        <v>24</v>
      </c>
      <c r="C5" s="2" t="s">
        <v>29</v>
      </c>
      <c r="D5" s="2" t="s">
        <v>30</v>
      </c>
    </row>
    <row r="6" spans="1:4" x14ac:dyDescent="0.25">
      <c r="A6" s="2" t="s">
        <v>4</v>
      </c>
      <c r="B6" s="2" t="s">
        <v>31</v>
      </c>
      <c r="C6" s="2" t="s">
        <v>32</v>
      </c>
      <c r="D6" s="2" t="s">
        <v>33</v>
      </c>
    </row>
    <row r="7" spans="1:4" x14ac:dyDescent="0.25">
      <c r="A7" s="2" t="s">
        <v>5</v>
      </c>
      <c r="B7" s="2" t="s">
        <v>34</v>
      </c>
      <c r="C7" s="2" t="s">
        <v>35</v>
      </c>
      <c r="D7" s="2" t="s">
        <v>36</v>
      </c>
    </row>
    <row r="8" spans="1:4" x14ac:dyDescent="0.25">
      <c r="A8" s="2" t="s">
        <v>6</v>
      </c>
      <c r="B8" s="2" t="s">
        <v>34</v>
      </c>
      <c r="C8" s="2" t="s">
        <v>37</v>
      </c>
      <c r="D8" s="2" t="s">
        <v>36</v>
      </c>
    </row>
    <row r="9" spans="1:4" x14ac:dyDescent="0.25">
      <c r="A9" s="2" t="s">
        <v>7</v>
      </c>
      <c r="B9" s="2" t="s">
        <v>34</v>
      </c>
      <c r="C9" s="2" t="s">
        <v>38</v>
      </c>
      <c r="D9" s="2" t="s">
        <v>36</v>
      </c>
    </row>
    <row r="10" spans="1:4" ht="25.5" x14ac:dyDescent="0.25">
      <c r="A10" s="2" t="s">
        <v>8</v>
      </c>
      <c r="B10" s="2" t="s">
        <v>39</v>
      </c>
      <c r="C10" s="2" t="s">
        <v>40</v>
      </c>
      <c r="D10" s="2" t="s">
        <v>41</v>
      </c>
    </row>
    <row r="11" spans="1:4" ht="25.5" x14ac:dyDescent="0.25">
      <c r="A11" s="2" t="s">
        <v>9</v>
      </c>
      <c r="B11" s="2" t="s">
        <v>42</v>
      </c>
      <c r="C11" s="2" t="s">
        <v>43</v>
      </c>
      <c r="D11" s="2" t="s">
        <v>44</v>
      </c>
    </row>
    <row r="12" spans="1:4" ht="25.5" x14ac:dyDescent="0.25">
      <c r="A12" s="2" t="s">
        <v>10</v>
      </c>
      <c r="B12" s="2" t="s">
        <v>31</v>
      </c>
      <c r="C12" s="2" t="s">
        <v>45</v>
      </c>
      <c r="D12" s="2" t="s">
        <v>46</v>
      </c>
    </row>
    <row r="13" spans="1:4" x14ac:dyDescent="0.25">
      <c r="A13" s="2" t="s">
        <v>11</v>
      </c>
      <c r="B13" s="2" t="s">
        <v>31</v>
      </c>
      <c r="C13" s="2" t="s">
        <v>47</v>
      </c>
      <c r="D13" s="2" t="s">
        <v>46</v>
      </c>
    </row>
    <row r="14" spans="1:4" x14ac:dyDescent="0.25">
      <c r="A14" s="2" t="s">
        <v>12</v>
      </c>
      <c r="B14" s="2" t="s">
        <v>24</v>
      </c>
      <c r="C14" s="2" t="s">
        <v>48</v>
      </c>
      <c r="D14" s="2" t="s">
        <v>46</v>
      </c>
    </row>
    <row r="15" spans="1:4" x14ac:dyDescent="0.25">
      <c r="A15" s="2" t="s">
        <v>13</v>
      </c>
      <c r="B15" s="2" t="s">
        <v>24</v>
      </c>
      <c r="C15" s="2" t="s">
        <v>49</v>
      </c>
      <c r="D15" s="2" t="s">
        <v>46</v>
      </c>
    </row>
    <row r="16" spans="1:4" x14ac:dyDescent="0.25">
      <c r="A16" s="2" t="s">
        <v>14</v>
      </c>
      <c r="B16" s="2" t="s">
        <v>24</v>
      </c>
      <c r="C16" s="2" t="s">
        <v>50</v>
      </c>
      <c r="D16" s="2" t="s">
        <v>46</v>
      </c>
    </row>
    <row r="17" spans="1:4" x14ac:dyDescent="0.25">
      <c r="A17" s="2" t="s">
        <v>15</v>
      </c>
      <c r="B17" s="2" t="s">
        <v>31</v>
      </c>
      <c r="C17" s="2" t="s">
        <v>51</v>
      </c>
      <c r="D17" s="2" t="s">
        <v>46</v>
      </c>
    </row>
    <row r="18" spans="1:4" ht="25.5" x14ac:dyDescent="0.25">
      <c r="A18" s="2" t="s">
        <v>16</v>
      </c>
      <c r="B18" s="2" t="s">
        <v>42</v>
      </c>
      <c r="C18" s="2" t="s">
        <v>52</v>
      </c>
      <c r="D18" s="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5E0DC838B1254199B6D43B9E3232F4" ma:contentTypeVersion="4" ma:contentTypeDescription="Create a new document." ma:contentTypeScope="" ma:versionID="db34afd60a0a7ac254203092eccf2589">
  <xsd:schema xmlns:xsd="http://www.w3.org/2001/XMLSchema" xmlns:xs="http://www.w3.org/2001/XMLSchema" xmlns:p="http://schemas.microsoft.com/office/2006/metadata/properties" xmlns:ns3="54acbadb-4026-4f05-ada3-2365d46b7298" targetNamespace="http://schemas.microsoft.com/office/2006/metadata/properties" ma:root="true" ma:fieldsID="63820a6063b4cbcc541421090a565878" ns3:_="">
    <xsd:import namespace="54acbadb-4026-4f05-ada3-2365d46b72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cbadb-4026-4f05-ada3-2365d46b72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39DD8-5761-4D70-B3D8-26BB8EA3B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cbadb-4026-4f05-ada3-2365d46b72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20490-02C9-4F92-9A2B-BB1D55749A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619F09-50AE-4CB0-B6E1-68EFA3722F71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54acbadb-4026-4f05-ada3-2365d46b729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Column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WIJETHUNGA S M K I</dc:creator>
  <cp:lastModifiedBy>WIJETHUNGA S M K I</cp:lastModifiedBy>
  <dcterms:created xsi:type="dcterms:W3CDTF">2026-08-12T09:07:41Z</dcterms:created>
  <dcterms:modified xsi:type="dcterms:W3CDTF">2026-08-14T19:04:05Z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0x010100A85E0DC838B1254199B6D43B9E3232F4</vt:lpwstr>
  </property>
</Properties>
</file>